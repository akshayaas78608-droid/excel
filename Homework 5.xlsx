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546e68571b972e/Documents/"/>
    </mc:Choice>
  </mc:AlternateContent>
  <xr:revisionPtr revIDLastSave="0" documentId="8_{A7961C57-BC82-4792-9E18-28089A3C87ED}" xr6:coauthVersionLast="47" xr6:coauthVersionMax="47" xr10:uidLastSave="{00000000-0000-0000-0000-000000000000}"/>
  <bookViews>
    <workbookView xWindow="-108" yWindow="-108" windowWidth="23256" windowHeight="12456" xr2:uid="{AD2C07ED-5BF6-4871-AA54-CFD8C787BB72}"/>
  </bookViews>
  <sheets>
    <sheet name="Sheet1" sheetId="1" r:id="rId1"/>
  </sheets>
  <definedNames>
    <definedName name="_xlnm._FilterDatabase" localSheetId="0" hidden="1">Sheet1!$A$1:$C$41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" i="1"/>
  <c r="D45" i="1"/>
  <c r="C44" i="1"/>
  <c r="Q2" i="1" a="1"/>
  <c r="O2" i="1" a="1"/>
  <c r="K2" i="1" a="1"/>
  <c r="G2" i="1" a="1"/>
  <c r="E5" i="1" a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<sst xmlns="http://schemas.openxmlformats.org/spreadsheetml/2006/main" count="53" uniqueCount="53">
  <si>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Day</t>
  </si>
  <si>
    <t>Customers</t>
  </si>
  <si>
    <t>Revenue (₹)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</si>
  <si>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</si>
  <si>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</si>
  <si>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</si>
  <si>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</si>
  <si>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</si>
  <si>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</si>
  <si>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</si>
  <si>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</si>
  <si>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</si>
  <si>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</si>
  <si>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</si>
  <si>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</si>
  <si>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</si>
  <si>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</si>
  <si>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</si>
  <si>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</si>
  <si>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</si>
  <si>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</si>
  <si>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</si>
  <si>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</si>
  <si>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</si>
  <si>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</si>
  <si>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</si>
  <si>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</si>
  <si>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</si>
  <si>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</si>
  <si>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</si>
  <si>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</si>
  <si>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</si>
  <si>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</si>
  <si>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</si>
  <si>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</si>
  <si>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</si>
  <si>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</si>
  <si>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</si>
  <si>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</si>
  <si>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</si>
  <si>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</si>
  <si>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</si>
  <si>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</si>
  <si>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Dynamic list of custiomer count</t>
  </si>
  <si>
    <t>1,</t>
  </si>
  <si>
    <t>2,</t>
  </si>
  <si>
    <t>7,</t>
  </si>
  <si>
    <t>8,</t>
  </si>
  <si>
    <t>Total</t>
  </si>
  <si>
    <t>Average Revenue</t>
  </si>
  <si>
    <t>Performance Score(9)</t>
  </si>
  <si>
    <t>Business Insights</t>
  </si>
  <si>
    <t>**Business Insights**
1. **Customer count and revenue:** Comparing customer numbers with revenue helps management understand whether busier days generally generate higher sales.
2. **High-revenue days:** Identifying days with revenue above ₹10,000 helps management recognize strong sales periods and investigate which factors contributed to better performance.
3. **Performance improvement:** Comparing daily performance scores helps management identify successful days and use those patterns to improve customer engagement and revenue on weaker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</si>
</sst>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C78F-D276-48E3-9277-60870C64C6BE}">
  <dimension ref="A1:Z49"/>
  <sheetViews>
    <sheetView tabSelected="1" workbookViewId="0">
      <selection activeCell="E54" sqref="E54"/>
    </sheetView>
  </sheetViews>
  <sheetFormatPr defaultRowHeight="14.4" x14ac:dyDescent="0.3"/>
  <cols>
    <col min="4" max="4" width="13.21875" customWidth="1"/>
    <col min="5" max="5" width="30.6640625" customWidth="1"/>
  </cols>
  <sheetData>
    <row r="1" spans="1:26" ht="27.6" thickBot="1" x14ac:dyDescent="0.35">
      <c r="A1" s="1" t="s">
        <v>0</v>
      </c>
      <c r="B1" s="1" t="s">
        <v>1</v>
      </c>
      <c r="C1" s="1" t="s">
        <v>2</v>
      </c>
      <c r="D1" s="5" t="s">
        <v>50</v>
      </c>
      <c r="E1" s="4" t="s">
        <v>44</v>
      </c>
      <c r="G1">
        <v>3</v>
      </c>
      <c r="K1">
        <v>4</v>
      </c>
      <c r="O1">
        <v>5</v>
      </c>
      <c r="Q1">
        <v>6</v>
      </c>
    </row>
    <row r="2" spans="1:26" ht="15" thickBot="1" x14ac:dyDescent="0.35">
      <c r="A2" s="2" t="s">
        <v>3</v>
      </c>
      <c r="B2" s="3">
        <v>45</v>
      </c>
      <c r="C2" s="3">
        <v>8200</v>
      </c>
      <c r="D2">
        <f>100*((B2/MAX($B$2:$B$41)+C2/MAX($C$2:$C$41))/2)</f>
        <v>60.960144927536234</v>
      </c>
      <c r="E2">
        <f>CORREL(B2:B41,C2:C41)</f>
        <v>0.99777943851767659</v>
      </c>
      <c r="G2" t="str" cm="1">
        <f t="array" ref="G2:I16">_xlfn._xlws.FILTER(A2:C41,C2:C41&gt;10000,"No matching days")</f>
        <v>Day 4</v>
      </c>
      <c r="H2">
        <v>60</v>
      </c>
      <c r="I2">
        <v>11200</v>
      </c>
      <c r="K2" t="str" cm="1">
        <f t="array" ref="K2:M41">_xlfn.SORTBY(A2:C41,C2:C41,-1)</f>
        <v>Day 22</v>
      </c>
      <c r="L2">
        <v>72</v>
      </c>
      <c r="M2">
        <v>13800</v>
      </c>
      <c r="O2" cm="1">
        <f t="array" ref="O2:O41">_xlfn.SEQUENCE(40)</f>
        <v>1</v>
      </c>
      <c r="Q2" t="str" cm="1">
        <f t="array" ref="Q2:Z2">TRANSPOSE(A2:A11)</f>
        <v>Day 1</v>
      </c>
      <c r="R2" t="str">
        <v>Day 2</v>
      </c>
      <c r="S2" t="str">
        <v>Day 3</v>
      </c>
      <c r="T2" t="str">
        <v>Day 4</v>
      </c>
      <c r="U2" t="str">
        <v>Day 5</v>
      </c>
      <c r="V2" t="str">
        <v>Day 6</v>
      </c>
      <c r="W2" t="str">
        <v>Day 7</v>
      </c>
      <c r="X2" t="str">
        <v>Day 8</v>
      </c>
      <c r="Y2" t="str">
        <v>Day 9</v>
      </c>
      <c r="Z2" t="str">
        <v>Day 10</v>
      </c>
    </row>
    <row r="3" spans="1:26" ht="15" thickBot="1" x14ac:dyDescent="0.35">
      <c r="A3" s="2" t="s">
        <v>4</v>
      </c>
      <c r="B3" s="3">
        <v>52</v>
      </c>
      <c r="C3" s="3">
        <v>9400</v>
      </c>
      <c r="D3">
        <f t="shared" ref="D3:D41" si="0">100*((B3/MAX($B$2:$B$41)+C3/MAX($C$2:$C$41))/2)</f>
        <v>70.169082125603865</v>
      </c>
      <c r="E3" t="s">
        <v>45</v>
      </c>
      <c r="G3" t="str">
        <v>Day 7</v>
      </c>
      <c r="H3">
        <v>65</v>
      </c>
      <c r="I3">
        <v>12000</v>
      </c>
      <c r="K3" t="str">
        <v>Day 14</v>
      </c>
      <c r="L3">
        <v>70</v>
      </c>
      <c r="M3">
        <v>13000</v>
      </c>
      <c r="O3">
        <v>2</v>
      </c>
    </row>
    <row r="4" spans="1:26" ht="15" thickBot="1" x14ac:dyDescent="0.35">
      <c r="A4" s="2" t="s">
        <v>5</v>
      </c>
      <c r="B4" s="3">
        <v>38</v>
      </c>
      <c r="C4" s="3">
        <v>6900</v>
      </c>
      <c r="D4">
        <f t="shared" si="0"/>
        <v>51.388888888888886</v>
      </c>
      <c r="E4" t="s">
        <v>43</v>
      </c>
      <c r="G4" t="str">
        <v>Day 10</v>
      </c>
      <c r="H4">
        <v>58</v>
      </c>
      <c r="I4">
        <v>10400</v>
      </c>
      <c r="K4" t="str">
        <v>Day 31</v>
      </c>
      <c r="L4">
        <v>68</v>
      </c>
      <c r="M4">
        <v>12700</v>
      </c>
      <c r="O4">
        <v>3</v>
      </c>
    </row>
    <row r="5" spans="1:26" ht="15" thickBot="1" x14ac:dyDescent="0.35">
      <c r="A5" s="2" t="s">
        <v>6</v>
      </c>
      <c r="B5" s="3">
        <v>60</v>
      </c>
      <c r="C5" s="3">
        <v>11200</v>
      </c>
      <c r="D5">
        <f t="shared" si="0"/>
        <v>82.246376811594217</v>
      </c>
      <c r="E5" cm="1">
        <f t="array" ref="E5:E38">_xlfn._xlws.SORT(_xlfn.UNIQUE(B2:B41))</f>
        <v>29</v>
      </c>
      <c r="G5" t="str">
        <v>Day 11</v>
      </c>
      <c r="H5">
        <v>62</v>
      </c>
      <c r="I5">
        <v>11500</v>
      </c>
      <c r="K5" t="str">
        <v>Day 21</v>
      </c>
      <c r="L5">
        <v>67</v>
      </c>
      <c r="M5">
        <v>12500</v>
      </c>
      <c r="O5">
        <v>4</v>
      </c>
    </row>
    <row r="6" spans="1:26" ht="15" thickBot="1" x14ac:dyDescent="0.35">
      <c r="A6" s="2" t="s">
        <v>7</v>
      </c>
      <c r="B6" s="3">
        <v>55</v>
      </c>
      <c r="C6" s="3">
        <v>9800</v>
      </c>
      <c r="D6">
        <f t="shared" si="0"/>
        <v>73.701690821256037</v>
      </c>
      <c r="E6">
        <v>30</v>
      </c>
      <c r="G6" t="str">
        <v>Day 14</v>
      </c>
      <c r="H6">
        <v>70</v>
      </c>
      <c r="I6">
        <v>13000</v>
      </c>
      <c r="K6" t="str">
        <v>Day 37</v>
      </c>
      <c r="L6">
        <v>65</v>
      </c>
      <c r="M6">
        <v>12100</v>
      </c>
      <c r="O6">
        <v>5</v>
      </c>
    </row>
    <row r="7" spans="1:26" ht="15" thickBot="1" x14ac:dyDescent="0.35">
      <c r="A7" s="2" t="s">
        <v>8</v>
      </c>
      <c r="B7" s="3">
        <v>30</v>
      </c>
      <c r="C7" s="3">
        <v>5200</v>
      </c>
      <c r="D7">
        <f t="shared" si="0"/>
        <v>39.673913043478258</v>
      </c>
      <c r="E7">
        <v>32</v>
      </c>
      <c r="G7" t="str">
        <v>Day 16</v>
      </c>
      <c r="H7">
        <v>59</v>
      </c>
      <c r="I7">
        <v>10700</v>
      </c>
      <c r="K7" t="str">
        <v>Day 7</v>
      </c>
      <c r="L7">
        <v>65</v>
      </c>
      <c r="M7">
        <v>12000</v>
      </c>
      <c r="O7">
        <v>6</v>
      </c>
    </row>
    <row r="8" spans="1:26" ht="15" thickBot="1" x14ac:dyDescent="0.35">
      <c r="A8" s="2" t="s">
        <v>9</v>
      </c>
      <c r="B8" s="3">
        <v>65</v>
      </c>
      <c r="C8" s="3">
        <v>12000</v>
      </c>
      <c r="D8">
        <f t="shared" si="0"/>
        <v>88.617149758454104</v>
      </c>
      <c r="E8">
        <v>35</v>
      </c>
      <c r="G8" t="str">
        <v>Day 19</v>
      </c>
      <c r="H8">
        <v>61</v>
      </c>
      <c r="I8">
        <v>11400</v>
      </c>
      <c r="K8" t="str">
        <v>Day 28</v>
      </c>
      <c r="L8">
        <v>63</v>
      </c>
      <c r="M8">
        <v>11800</v>
      </c>
      <c r="O8">
        <v>7</v>
      </c>
    </row>
    <row r="9" spans="1:26" ht="15" thickBot="1" x14ac:dyDescent="0.35">
      <c r="A9" s="2" t="s">
        <v>10</v>
      </c>
      <c r="B9" s="3">
        <v>48</v>
      </c>
      <c r="C9" s="3">
        <v>8600</v>
      </c>
      <c r="D9">
        <f t="shared" si="0"/>
        <v>64.492753623188406</v>
      </c>
      <c r="E9">
        <v>37</v>
      </c>
      <c r="G9" t="str">
        <v>Day 21</v>
      </c>
      <c r="H9">
        <v>67</v>
      </c>
      <c r="I9">
        <v>12500</v>
      </c>
      <c r="K9" t="str">
        <v>Day 11</v>
      </c>
      <c r="L9">
        <v>62</v>
      </c>
      <c r="M9">
        <v>11500</v>
      </c>
      <c r="O9">
        <v>8</v>
      </c>
    </row>
    <row r="10" spans="1:26" ht="15" thickBot="1" x14ac:dyDescent="0.35">
      <c r="A10" s="2" t="s">
        <v>11</v>
      </c>
      <c r="B10" s="3">
        <v>41</v>
      </c>
      <c r="C10" s="3">
        <v>7400</v>
      </c>
      <c r="D10">
        <f t="shared" si="0"/>
        <v>55.283816425120769</v>
      </c>
      <c r="E10">
        <v>38</v>
      </c>
      <c r="G10" t="str">
        <v>Day 22</v>
      </c>
      <c r="H10">
        <v>72</v>
      </c>
      <c r="I10">
        <v>13800</v>
      </c>
      <c r="K10" t="str">
        <v>Day 19</v>
      </c>
      <c r="L10">
        <v>61</v>
      </c>
      <c r="M10">
        <v>11400</v>
      </c>
      <c r="O10">
        <v>9</v>
      </c>
    </row>
    <row r="11" spans="1:26" ht="15" thickBot="1" x14ac:dyDescent="0.35">
      <c r="A11" s="2" t="s">
        <v>12</v>
      </c>
      <c r="B11" s="3">
        <v>58</v>
      </c>
      <c r="C11" s="3">
        <v>10400</v>
      </c>
      <c r="D11">
        <f t="shared" si="0"/>
        <v>77.95893719806763</v>
      </c>
      <c r="E11">
        <v>39</v>
      </c>
      <c r="G11" t="str">
        <v>Day 25</v>
      </c>
      <c r="H11">
        <v>57</v>
      </c>
      <c r="I11">
        <v>10200</v>
      </c>
      <c r="K11" t="str">
        <v>Day 4</v>
      </c>
      <c r="L11">
        <v>60</v>
      </c>
      <c r="M11">
        <v>11200</v>
      </c>
      <c r="O11">
        <v>10</v>
      </c>
    </row>
    <row r="12" spans="1:26" ht="15" thickBot="1" x14ac:dyDescent="0.35">
      <c r="A12" s="2" t="s">
        <v>13</v>
      </c>
      <c r="B12" s="3">
        <v>62</v>
      </c>
      <c r="C12" s="3">
        <v>11500</v>
      </c>
      <c r="D12">
        <f t="shared" si="0"/>
        <v>84.722222222222229</v>
      </c>
      <c r="E12">
        <v>41</v>
      </c>
      <c r="G12" t="str">
        <v>Day 28</v>
      </c>
      <c r="H12">
        <v>63</v>
      </c>
      <c r="I12">
        <v>11800</v>
      </c>
      <c r="K12" t="str">
        <v>Day 34</v>
      </c>
      <c r="L12">
        <v>60</v>
      </c>
      <c r="M12">
        <v>11000</v>
      </c>
      <c r="O12">
        <v>11</v>
      </c>
    </row>
    <row r="13" spans="1:26" ht="15" thickBot="1" x14ac:dyDescent="0.35">
      <c r="A13" s="2" t="s">
        <v>14</v>
      </c>
      <c r="B13" s="3">
        <v>50</v>
      </c>
      <c r="C13" s="3">
        <v>9000</v>
      </c>
      <c r="D13">
        <f t="shared" si="0"/>
        <v>67.330917874396135</v>
      </c>
      <c r="E13">
        <v>43</v>
      </c>
      <c r="G13" t="str">
        <v>Day 31</v>
      </c>
      <c r="H13">
        <v>68</v>
      </c>
      <c r="I13">
        <v>12700</v>
      </c>
      <c r="K13" t="str">
        <v>Day 16</v>
      </c>
      <c r="L13">
        <v>59</v>
      </c>
      <c r="M13">
        <v>10700</v>
      </c>
      <c r="O13">
        <v>12</v>
      </c>
    </row>
    <row r="14" spans="1:26" ht="15" thickBot="1" x14ac:dyDescent="0.35">
      <c r="A14" s="2" t="s">
        <v>15</v>
      </c>
      <c r="B14" s="3">
        <v>46</v>
      </c>
      <c r="C14" s="3">
        <v>8300</v>
      </c>
      <c r="D14">
        <f t="shared" si="0"/>
        <v>62.016908212560381</v>
      </c>
      <c r="E14">
        <v>44</v>
      </c>
      <c r="G14" t="str">
        <v>Day 34</v>
      </c>
      <c r="H14">
        <v>60</v>
      </c>
      <c r="I14">
        <v>11000</v>
      </c>
      <c r="K14" t="str">
        <v>Day 39</v>
      </c>
      <c r="L14">
        <v>58</v>
      </c>
      <c r="M14">
        <v>10500</v>
      </c>
      <c r="O14">
        <v>13</v>
      </c>
    </row>
    <row r="15" spans="1:26" ht="15" thickBot="1" x14ac:dyDescent="0.35">
      <c r="A15" s="2" t="s">
        <v>16</v>
      </c>
      <c r="B15" s="3">
        <v>70</v>
      </c>
      <c r="C15" s="3">
        <v>13000</v>
      </c>
      <c r="D15">
        <f t="shared" si="0"/>
        <v>95.712560386473427</v>
      </c>
      <c r="E15">
        <v>45</v>
      </c>
      <c r="G15" t="str">
        <v>Day 37</v>
      </c>
      <c r="H15">
        <v>65</v>
      </c>
      <c r="I15">
        <v>12100</v>
      </c>
      <c r="K15" t="str">
        <v>Day 10</v>
      </c>
      <c r="L15">
        <v>58</v>
      </c>
      <c r="M15">
        <v>10400</v>
      </c>
      <c r="O15">
        <v>14</v>
      </c>
    </row>
    <row r="16" spans="1:26" ht="15" thickBot="1" x14ac:dyDescent="0.35">
      <c r="A16" s="2" t="s">
        <v>17</v>
      </c>
      <c r="B16" s="3">
        <v>35</v>
      </c>
      <c r="C16" s="3">
        <v>6100</v>
      </c>
      <c r="D16">
        <f t="shared" si="0"/>
        <v>46.407004830917877</v>
      </c>
      <c r="E16">
        <v>46</v>
      </c>
      <c r="G16" t="str">
        <v>Day 39</v>
      </c>
      <c r="H16">
        <v>58</v>
      </c>
      <c r="I16">
        <v>10500</v>
      </c>
      <c r="K16" t="str">
        <v>Day 25</v>
      </c>
      <c r="L16">
        <v>57</v>
      </c>
      <c r="M16">
        <v>10200</v>
      </c>
      <c r="O16">
        <v>15</v>
      </c>
    </row>
    <row r="17" spans="1:15" ht="15" thickBot="1" x14ac:dyDescent="0.35">
      <c r="A17" s="2" t="s">
        <v>18</v>
      </c>
      <c r="B17" s="3">
        <v>59</v>
      </c>
      <c r="C17" s="3">
        <v>10700</v>
      </c>
      <c r="D17">
        <f t="shared" si="0"/>
        <v>79.740338164251213</v>
      </c>
      <c r="E17">
        <v>47</v>
      </c>
      <c r="K17" t="str">
        <v>Day 32</v>
      </c>
      <c r="L17">
        <v>56</v>
      </c>
      <c r="M17">
        <v>10000</v>
      </c>
      <c r="O17">
        <v>16</v>
      </c>
    </row>
    <row r="18" spans="1:15" ht="15" thickBot="1" x14ac:dyDescent="0.35">
      <c r="A18" s="2" t="s">
        <v>19</v>
      </c>
      <c r="B18" s="3">
        <v>44</v>
      </c>
      <c r="C18" s="3">
        <v>8000</v>
      </c>
      <c r="D18">
        <f t="shared" si="0"/>
        <v>59.541062801932362</v>
      </c>
      <c r="E18">
        <v>48</v>
      </c>
      <c r="K18" t="str">
        <v>Day 5</v>
      </c>
      <c r="L18">
        <v>55</v>
      </c>
      <c r="M18">
        <v>9800</v>
      </c>
      <c r="O18">
        <v>17</v>
      </c>
    </row>
    <row r="19" spans="1:15" ht="15" thickBot="1" x14ac:dyDescent="0.35">
      <c r="A19" s="2" t="s">
        <v>20</v>
      </c>
      <c r="B19" s="3">
        <v>53</v>
      </c>
      <c r="C19" s="3">
        <v>9600</v>
      </c>
      <c r="D19">
        <f t="shared" si="0"/>
        <v>71.588164251207729</v>
      </c>
      <c r="E19">
        <v>49</v>
      </c>
      <c r="K19" t="str">
        <v>Day 29</v>
      </c>
      <c r="L19">
        <v>54</v>
      </c>
      <c r="M19">
        <v>9700</v>
      </c>
      <c r="O19">
        <v>18</v>
      </c>
    </row>
    <row r="20" spans="1:15" ht="15" thickBot="1" x14ac:dyDescent="0.35">
      <c r="A20" s="2" t="s">
        <v>21</v>
      </c>
      <c r="B20" s="3">
        <v>61</v>
      </c>
      <c r="C20" s="3">
        <v>11400</v>
      </c>
      <c r="D20">
        <f t="shared" si="0"/>
        <v>83.665458937198068</v>
      </c>
      <c r="E20">
        <v>50</v>
      </c>
      <c r="K20" t="str">
        <v>Day 18</v>
      </c>
      <c r="L20">
        <v>53</v>
      </c>
      <c r="M20">
        <v>9600</v>
      </c>
      <c r="O20">
        <v>19</v>
      </c>
    </row>
    <row r="21" spans="1:15" ht="15" thickBot="1" x14ac:dyDescent="0.35">
      <c r="A21" s="2" t="s">
        <v>22</v>
      </c>
      <c r="B21" s="3">
        <v>49</v>
      </c>
      <c r="C21" s="3">
        <v>8800</v>
      </c>
      <c r="D21">
        <f t="shared" si="0"/>
        <v>65.911835748792271</v>
      </c>
      <c r="E21">
        <v>51</v>
      </c>
      <c r="K21" t="str">
        <v>Day 2</v>
      </c>
      <c r="L21">
        <v>52</v>
      </c>
      <c r="M21">
        <v>9400</v>
      </c>
      <c r="O21">
        <v>20</v>
      </c>
    </row>
    <row r="22" spans="1:15" ht="15" thickBot="1" x14ac:dyDescent="0.35">
      <c r="A22" s="2" t="s">
        <v>23</v>
      </c>
      <c r="B22" s="3">
        <v>67</v>
      </c>
      <c r="C22" s="3">
        <v>12500</v>
      </c>
      <c r="D22">
        <f t="shared" si="0"/>
        <v>91.817632850241552</v>
      </c>
      <c r="E22">
        <v>52</v>
      </c>
      <c r="K22" t="str">
        <v>Day 35</v>
      </c>
      <c r="L22">
        <v>52</v>
      </c>
      <c r="M22">
        <v>9400</v>
      </c>
      <c r="O22">
        <v>21</v>
      </c>
    </row>
    <row r="23" spans="1:15" ht="15" thickBot="1" x14ac:dyDescent="0.35">
      <c r="A23" s="2" t="s">
        <v>24</v>
      </c>
      <c r="B23" s="3">
        <v>72</v>
      </c>
      <c r="C23" s="3">
        <v>13800</v>
      </c>
      <c r="D23">
        <f t="shared" si="0"/>
        <v>100</v>
      </c>
      <c r="E23">
        <v>53</v>
      </c>
      <c r="K23" t="str">
        <v>Day 24</v>
      </c>
      <c r="L23">
        <v>51</v>
      </c>
      <c r="M23">
        <v>9200</v>
      </c>
      <c r="O23">
        <v>22</v>
      </c>
    </row>
    <row r="24" spans="1:15" ht="15" thickBot="1" x14ac:dyDescent="0.35">
      <c r="A24" s="2" t="s">
        <v>25</v>
      </c>
      <c r="B24" s="3">
        <v>32</v>
      </c>
      <c r="C24" s="3">
        <v>5600</v>
      </c>
      <c r="D24">
        <f t="shared" si="0"/>
        <v>42.512077294685987</v>
      </c>
      <c r="E24">
        <v>54</v>
      </c>
      <c r="K24" t="str">
        <v>Day 40</v>
      </c>
      <c r="L24">
        <v>50</v>
      </c>
      <c r="M24">
        <v>9100</v>
      </c>
      <c r="O24">
        <v>23</v>
      </c>
    </row>
    <row r="25" spans="1:15" ht="15" thickBot="1" x14ac:dyDescent="0.35">
      <c r="A25" s="2" t="s">
        <v>26</v>
      </c>
      <c r="B25" s="3">
        <v>51</v>
      </c>
      <c r="C25" s="3">
        <v>9200</v>
      </c>
      <c r="D25">
        <f t="shared" si="0"/>
        <v>68.75</v>
      </c>
      <c r="E25">
        <v>55</v>
      </c>
      <c r="K25" t="str">
        <v>Day 12</v>
      </c>
      <c r="L25">
        <v>50</v>
      </c>
      <c r="M25">
        <v>9000</v>
      </c>
      <c r="O25">
        <v>24</v>
      </c>
    </row>
    <row r="26" spans="1:15" ht="15" thickBot="1" x14ac:dyDescent="0.35">
      <c r="A26" s="2" t="s">
        <v>27</v>
      </c>
      <c r="B26" s="3">
        <v>57</v>
      </c>
      <c r="C26" s="3">
        <v>10200</v>
      </c>
      <c r="D26">
        <f t="shared" si="0"/>
        <v>76.539855072463766</v>
      </c>
      <c r="E26">
        <v>56</v>
      </c>
      <c r="K26" t="str">
        <v>Day 20</v>
      </c>
      <c r="L26">
        <v>49</v>
      </c>
      <c r="M26">
        <v>8800</v>
      </c>
      <c r="O26">
        <v>25</v>
      </c>
    </row>
    <row r="27" spans="1:15" ht="15" thickBot="1" x14ac:dyDescent="0.35">
      <c r="A27" s="2" t="s">
        <v>28</v>
      </c>
      <c r="B27" s="3">
        <v>47</v>
      </c>
      <c r="C27" s="3">
        <v>8500</v>
      </c>
      <c r="D27">
        <f t="shared" si="0"/>
        <v>63.435990338164252</v>
      </c>
      <c r="E27">
        <v>57</v>
      </c>
      <c r="K27" t="str">
        <v>Day 8</v>
      </c>
      <c r="L27">
        <v>48</v>
      </c>
      <c r="M27">
        <v>8600</v>
      </c>
      <c r="O27">
        <v>26</v>
      </c>
    </row>
    <row r="28" spans="1:15" ht="15" thickBot="1" x14ac:dyDescent="0.35">
      <c r="A28" s="2" t="s">
        <v>29</v>
      </c>
      <c r="B28" s="3">
        <v>39</v>
      </c>
      <c r="C28" s="3">
        <v>7100</v>
      </c>
      <c r="D28">
        <f t="shared" si="0"/>
        <v>52.80797101449275</v>
      </c>
      <c r="E28">
        <v>58</v>
      </c>
      <c r="K28" t="str">
        <v>Day 26</v>
      </c>
      <c r="L28">
        <v>47</v>
      </c>
      <c r="M28">
        <v>8500</v>
      </c>
      <c r="O28">
        <v>27</v>
      </c>
    </row>
    <row r="29" spans="1:15" ht="15" thickBot="1" x14ac:dyDescent="0.35">
      <c r="A29" s="2" t="s">
        <v>30</v>
      </c>
      <c r="B29" s="3">
        <v>63</v>
      </c>
      <c r="C29" s="3">
        <v>11800</v>
      </c>
      <c r="D29">
        <f t="shared" si="0"/>
        <v>86.503623188405797</v>
      </c>
      <c r="E29">
        <v>59</v>
      </c>
      <c r="K29" t="str">
        <v>Day 38</v>
      </c>
      <c r="L29">
        <v>46</v>
      </c>
      <c r="M29">
        <v>8400</v>
      </c>
      <c r="O29">
        <v>28</v>
      </c>
    </row>
    <row r="30" spans="1:15" ht="15" thickBot="1" x14ac:dyDescent="0.35">
      <c r="A30" s="2" t="s">
        <v>31</v>
      </c>
      <c r="B30" s="3">
        <v>54</v>
      </c>
      <c r="C30" s="3">
        <v>9700</v>
      </c>
      <c r="D30">
        <f t="shared" si="0"/>
        <v>72.64492753623189</v>
      </c>
      <c r="E30">
        <v>60</v>
      </c>
      <c r="K30" t="str">
        <v>Day 13</v>
      </c>
      <c r="L30">
        <v>46</v>
      </c>
      <c r="M30">
        <v>8300</v>
      </c>
      <c r="O30">
        <v>29</v>
      </c>
    </row>
    <row r="31" spans="1:15" ht="15" thickBot="1" x14ac:dyDescent="0.35">
      <c r="A31" s="2" t="s">
        <v>32</v>
      </c>
      <c r="B31" s="3">
        <v>43</v>
      </c>
      <c r="C31" s="3">
        <v>7800</v>
      </c>
      <c r="D31">
        <f t="shared" si="0"/>
        <v>58.121980676328498</v>
      </c>
      <c r="E31">
        <v>61</v>
      </c>
      <c r="K31" t="str">
        <v>Day 1</v>
      </c>
      <c r="L31">
        <v>45</v>
      </c>
      <c r="M31">
        <v>8200</v>
      </c>
      <c r="O31">
        <v>30</v>
      </c>
    </row>
    <row r="32" spans="1:15" ht="15" thickBot="1" x14ac:dyDescent="0.35">
      <c r="A32" s="2" t="s">
        <v>33</v>
      </c>
      <c r="B32" s="3">
        <v>68</v>
      </c>
      <c r="C32" s="3">
        <v>12700</v>
      </c>
      <c r="D32">
        <f t="shared" si="0"/>
        <v>93.236714975845402</v>
      </c>
      <c r="E32">
        <v>62</v>
      </c>
      <c r="K32" t="str">
        <v>Day 17</v>
      </c>
      <c r="L32">
        <v>44</v>
      </c>
      <c r="M32">
        <v>8000</v>
      </c>
      <c r="O32">
        <v>31</v>
      </c>
    </row>
    <row r="33" spans="1:15" ht="15" thickBot="1" x14ac:dyDescent="0.35">
      <c r="A33" s="2" t="s">
        <v>34</v>
      </c>
      <c r="B33" s="3">
        <v>56</v>
      </c>
      <c r="C33" s="3">
        <v>10000</v>
      </c>
      <c r="D33">
        <f t="shared" si="0"/>
        <v>75.120772946859901</v>
      </c>
      <c r="E33">
        <v>63</v>
      </c>
      <c r="K33" t="str">
        <v>Day 30</v>
      </c>
      <c r="L33">
        <v>43</v>
      </c>
      <c r="M33">
        <v>7800</v>
      </c>
      <c r="O33">
        <v>32</v>
      </c>
    </row>
    <row r="34" spans="1:15" ht="15" thickBot="1" x14ac:dyDescent="0.35">
      <c r="A34" s="2" t="s">
        <v>35</v>
      </c>
      <c r="B34" s="3">
        <v>29</v>
      </c>
      <c r="C34" s="3">
        <v>4900</v>
      </c>
      <c r="D34">
        <f t="shared" si="0"/>
        <v>37.89251207729469</v>
      </c>
      <c r="E34">
        <v>65</v>
      </c>
      <c r="K34" t="str">
        <v>Day 9</v>
      </c>
      <c r="L34">
        <v>41</v>
      </c>
      <c r="M34">
        <v>7400</v>
      </c>
      <c r="O34">
        <v>33</v>
      </c>
    </row>
    <row r="35" spans="1:15" ht="15" thickBot="1" x14ac:dyDescent="0.35">
      <c r="A35" s="2" t="s">
        <v>36</v>
      </c>
      <c r="B35" s="3">
        <v>60</v>
      </c>
      <c r="C35" s="3">
        <v>11000</v>
      </c>
      <c r="D35">
        <f t="shared" si="0"/>
        <v>81.521739130434796</v>
      </c>
      <c r="E35">
        <v>67</v>
      </c>
      <c r="K35" t="str">
        <v>Day 27</v>
      </c>
      <c r="L35">
        <v>39</v>
      </c>
      <c r="M35">
        <v>7100</v>
      </c>
      <c r="O35">
        <v>34</v>
      </c>
    </row>
    <row r="36" spans="1:15" ht="15" thickBot="1" x14ac:dyDescent="0.35">
      <c r="A36" s="2" t="s">
        <v>37</v>
      </c>
      <c r="B36" s="3">
        <v>52</v>
      </c>
      <c r="C36" s="3">
        <v>9400</v>
      </c>
      <c r="D36">
        <f t="shared" si="0"/>
        <v>70.169082125603865</v>
      </c>
      <c r="E36">
        <v>68</v>
      </c>
      <c r="K36" t="str">
        <v>Day 3</v>
      </c>
      <c r="L36">
        <v>38</v>
      </c>
      <c r="M36">
        <v>6900</v>
      </c>
      <c r="O36">
        <v>35</v>
      </c>
    </row>
    <row r="37" spans="1:15" ht="15" thickBot="1" x14ac:dyDescent="0.35">
      <c r="A37" s="2" t="s">
        <v>38</v>
      </c>
      <c r="B37" s="3">
        <v>37</v>
      </c>
      <c r="C37" s="3">
        <v>6800</v>
      </c>
      <c r="D37">
        <f t="shared" si="0"/>
        <v>50.332125603864732</v>
      </c>
      <c r="E37">
        <v>70</v>
      </c>
      <c r="K37" t="str">
        <v>Day 36</v>
      </c>
      <c r="L37">
        <v>37</v>
      </c>
      <c r="M37">
        <v>6800</v>
      </c>
      <c r="O37">
        <v>36</v>
      </c>
    </row>
    <row r="38" spans="1:15" ht="15" thickBot="1" x14ac:dyDescent="0.35">
      <c r="A38" s="2" t="s">
        <v>39</v>
      </c>
      <c r="B38" s="3">
        <v>65</v>
      </c>
      <c r="C38" s="3">
        <v>12100</v>
      </c>
      <c r="D38">
        <f t="shared" si="0"/>
        <v>88.979468599033822</v>
      </c>
      <c r="E38">
        <v>72</v>
      </c>
      <c r="K38" t="str">
        <v>Day 15</v>
      </c>
      <c r="L38">
        <v>35</v>
      </c>
      <c r="M38">
        <v>6100</v>
      </c>
      <c r="O38">
        <v>37</v>
      </c>
    </row>
    <row r="39" spans="1:15" ht="15" thickBot="1" x14ac:dyDescent="0.35">
      <c r="A39" s="2" t="s">
        <v>40</v>
      </c>
      <c r="B39" s="3">
        <v>46</v>
      </c>
      <c r="C39" s="3">
        <v>8400</v>
      </c>
      <c r="D39">
        <f t="shared" si="0"/>
        <v>62.379227053140099</v>
      </c>
      <c r="K39" t="str">
        <v>Day 23</v>
      </c>
      <c r="L39">
        <v>32</v>
      </c>
      <c r="M39">
        <v>5600</v>
      </c>
      <c r="O39">
        <v>38</v>
      </c>
    </row>
    <row r="40" spans="1:15" ht="15" thickBot="1" x14ac:dyDescent="0.35">
      <c r="A40" s="2" t="s">
        <v>41</v>
      </c>
      <c r="B40" s="3">
        <v>58</v>
      </c>
      <c r="C40" s="3">
        <v>10500</v>
      </c>
      <c r="D40">
        <f t="shared" si="0"/>
        <v>78.321256038647348</v>
      </c>
      <c r="K40" t="str">
        <v>Day 6</v>
      </c>
      <c r="L40">
        <v>30</v>
      </c>
      <c r="M40">
        <v>5200</v>
      </c>
      <c r="O40">
        <v>39</v>
      </c>
    </row>
    <row r="41" spans="1:15" ht="15" thickBot="1" x14ac:dyDescent="0.35">
      <c r="A41" s="2" t="s">
        <v>42</v>
      </c>
      <c r="B41" s="3">
        <v>50</v>
      </c>
      <c r="C41" s="3">
        <v>9100</v>
      </c>
      <c r="D41">
        <f t="shared" si="0"/>
        <v>67.693236714975853</v>
      </c>
      <c r="K41" t="str">
        <v>Day 33</v>
      </c>
      <c r="L41">
        <v>29</v>
      </c>
      <c r="M41">
        <v>4900</v>
      </c>
      <c r="O41">
        <v>40</v>
      </c>
    </row>
    <row r="44" spans="1:15" x14ac:dyDescent="0.3">
      <c r="A44" t="s">
        <v>46</v>
      </c>
      <c r="B44" t="s">
        <v>48</v>
      </c>
      <c r="C44">
        <f>SUBTOTAL(9,C2:C41)</f>
        <v>376600</v>
      </c>
    </row>
    <row r="45" spans="1:15" x14ac:dyDescent="0.3">
      <c r="A45" t="s">
        <v>47</v>
      </c>
      <c r="B45" t="s">
        <v>49</v>
      </c>
      <c r="D45">
        <f>_xlfn.AGGREGATE(1,6,C2:C41)</f>
        <v>9415</v>
      </c>
    </row>
    <row r="47" spans="1:15" x14ac:dyDescent="0.3">
      <c r="E47" t="s">
        <v>51</v>
      </c>
    </row>
    <row r="49" spans="5:5" ht="331.2" x14ac:dyDescent="0.3">
      <c r="E49" s="6" t="s">
        <v>52</v>
      </c>
    </row>
  </sheetData>
  <autoFilter ref="A1:C41" xr:uid="{BFA9C78F-D276-48E3-9277-60870C64C6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OFF14040 UserOFF</dc:creator>
  <cp:lastModifiedBy>OFF14040 UserOFF</cp:lastModifiedBy>
  <dcterms:created xsi:type="dcterms:W3CDTF">2026-10-11T17:17:43Z</dcterms:created>
  <dcterms:modified xsi:type="dcterms:W3CDTF">2026-10-11T17:42:08Z</dcterms:modified>
</cp:coreProperties>
</file>