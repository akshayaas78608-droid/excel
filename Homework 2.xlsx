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B2AA935B-8B61-47B5-B677-5D13E9D8EF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2" i="1"/>
  <c r="H8" i="1"/>
  <c r="G7" i="1"/>
  <c r="F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2" i="1"/>
</calcChain>
</file>

<file path=xl/sharedStrings.xml><?xml version="1.0" encoding="utf-8"?>
<sst xmlns="http://schemas.openxmlformats.org/spreadsheetml/2006/main" count="207" uniqueCount="116">
  <si>
    <t>Student Name</t>
  </si>
  <si>
    <t>Email ID</t>
  </si>
  <si>
    <t>Service Provider</t>
  </si>
  <si>
    <t>Marks</t>
  </si>
  <si>
    <t>Group</t>
  </si>
  <si>
    <t>Average Marks</t>
  </si>
  <si>
    <t xml:space="preserve">Average Marks </t>
  </si>
  <si>
    <t xml:space="preserve">Total Marks </t>
  </si>
  <si>
    <t>Phone Number</t>
  </si>
  <si>
    <t>Phone No</t>
  </si>
  <si>
    <t>Aarav K</t>
  </si>
  <si>
    <t>aarav_k@mail.com</t>
  </si>
  <si>
    <t>mail</t>
  </si>
  <si>
    <t>A</t>
  </si>
  <si>
    <t>Bhavana R</t>
  </si>
  <si>
    <t>bhavana_r@y-mail.com</t>
  </si>
  <si>
    <t>y-mail</t>
  </si>
  <si>
    <t>B</t>
  </si>
  <si>
    <t>Passed STudents</t>
  </si>
  <si>
    <t>Chirag M</t>
  </si>
  <si>
    <t>chirag_m@out-box.com</t>
  </si>
  <si>
    <t>out-box</t>
  </si>
  <si>
    <t>&gt;=40</t>
  </si>
  <si>
    <t>Deepika S</t>
  </si>
  <si>
    <t>deepika_s@mail.com</t>
  </si>
  <si>
    <t>Marks of Group</t>
  </si>
  <si>
    <t>Group A &gt; 60</t>
  </si>
  <si>
    <t>Eshan P</t>
  </si>
  <si>
    <t>eshan_p@hot-box.com</t>
  </si>
  <si>
    <t>hot-box</t>
  </si>
  <si>
    <t>Farah N</t>
  </si>
  <si>
    <t>farah_n@y-mail.com</t>
  </si>
  <si>
    <t>Gautham K</t>
  </si>
  <si>
    <t>gautham_k@mail.com</t>
  </si>
  <si>
    <t>Haritha R</t>
  </si>
  <si>
    <t>haritha_r@out-box.com</t>
  </si>
  <si>
    <t>Ishaan M</t>
  </si>
  <si>
    <t>ishaan_m@mail.com</t>
  </si>
  <si>
    <t>Janani S</t>
  </si>
  <si>
    <t>janani_s@y-mail.com</t>
  </si>
  <si>
    <t>Kunal P</t>
  </si>
  <si>
    <t>kunal_p@mail.com</t>
  </si>
  <si>
    <t>Lavanya R</t>
  </si>
  <si>
    <t>lavanya_r@hot-box.com</t>
  </si>
  <si>
    <t>Mohit S</t>
  </si>
  <si>
    <t>mohit_s@mail.com</t>
  </si>
  <si>
    <t>Nandhini K</t>
  </si>
  <si>
    <t>nandhini_k@y-mail.com</t>
  </si>
  <si>
    <t>Omkar R</t>
  </si>
  <si>
    <t>omkar_r@mail.com</t>
  </si>
  <si>
    <t>Pavithra M</t>
  </si>
  <si>
    <t>pavithra_m@out-box.com</t>
  </si>
  <si>
    <t>Qasim N</t>
  </si>
  <si>
    <t>qasim_n@mail.com</t>
  </si>
  <si>
    <t>Ritu S</t>
  </si>
  <si>
    <t>ritu_s@y-mail.com</t>
  </si>
  <si>
    <t>Sandeep K</t>
  </si>
  <si>
    <t>sandeep_k@mail.com</t>
  </si>
  <si>
    <t>Tanvi R</t>
  </si>
  <si>
    <t>tanvi_r@hot-box.com</t>
  </si>
  <si>
    <t>Uday P</t>
  </si>
  <si>
    <t>uday_p@mail.com</t>
  </si>
  <si>
    <t>Varsha S</t>
  </si>
  <si>
    <t>varsha_s@y-mail.com</t>
  </si>
  <si>
    <t>Wasim K</t>
  </si>
  <si>
    <t>wasim_k@mail.com</t>
  </si>
  <si>
    <t>Xenia R</t>
  </si>
  <si>
    <t>xenia_r@out-box.com</t>
  </si>
  <si>
    <t>Yash M</t>
  </si>
  <si>
    <t>yash_m@mail.com</t>
  </si>
  <si>
    <t>Zoya N</t>
  </si>
  <si>
    <t>zoya_n@y-mail.com</t>
  </si>
  <si>
    <t>Aditi S</t>
  </si>
  <si>
    <t>aditi_s@mail.com</t>
  </si>
  <si>
    <t>Bharat K</t>
  </si>
  <si>
    <t>bharat_k@hot-box.com</t>
  </si>
  <si>
    <t>Chetan R</t>
  </si>
  <si>
    <t>chetan_r@mail.com</t>
  </si>
  <si>
    <t>Devika M</t>
  </si>
  <si>
    <t>devika_m@y-mail.com</t>
  </si>
  <si>
    <t>Ekansh P</t>
  </si>
  <si>
    <t>ekansh_p@mail.com</t>
  </si>
  <si>
    <t>Fathima S</t>
  </si>
  <si>
    <t>fathima_s@out-box.com</t>
  </si>
  <si>
    <t>Gopal K</t>
  </si>
  <si>
    <t>gopal_k@mail.com</t>
  </si>
  <si>
    <t>Hema R</t>
  </si>
  <si>
    <t>hema_r@y-mail.com</t>
  </si>
  <si>
    <t>Imran M</t>
  </si>
  <si>
    <t>imran_m@mail.com</t>
  </si>
  <si>
    <t>Jaya S</t>
  </si>
  <si>
    <t>jaya_s@hot-box.com</t>
  </si>
  <si>
    <t>Kartik R</t>
  </si>
  <si>
    <t>kartik_r@mail.com</t>
  </si>
  <si>
    <t>Leena M</t>
  </si>
  <si>
    <t>leena_m@y-mail.com</t>
  </si>
  <si>
    <t>Manoj K</t>
  </si>
  <si>
    <t>manoj_k@mail.com</t>
  </si>
  <si>
    <t>Neelam R</t>
  </si>
  <si>
    <t>neelam_r@out-box.com</t>
  </si>
  <si>
    <t>Ojas S</t>
  </si>
  <si>
    <t>ojas_s@mail.com</t>
  </si>
  <si>
    <t>Pooja K</t>
  </si>
  <si>
    <t>pooja_k@y-mail.com</t>
  </si>
  <si>
    <t>Raghav M</t>
  </si>
  <si>
    <t>raghav_m@mail.com</t>
  </si>
  <si>
    <t>Simran R</t>
  </si>
  <si>
    <t>simran_r@hot-box.com</t>
  </si>
  <si>
    <t>Tushar S</t>
  </si>
  <si>
    <t>tushar_s@mail.com</t>
  </si>
  <si>
    <t>Uma K</t>
  </si>
  <si>
    <t>uma_k@y-mail.com</t>
  </si>
  <si>
    <t>Vikram R</t>
  </si>
  <si>
    <t>vikram_r@mail.com</t>
  </si>
  <si>
    <t>Yuvraj M</t>
  </si>
  <si>
    <t>yuvraj_m@out-box.com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</si>
</sst>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2" fillId="0" borderId="10" xfId="0" applyFont="1" applyBorder="1" applyAlignment="1">
      <alignment readingOrder="1"/>
    </xf>
    <xf numFmtId="0" fontId="1" fillId="0" borderId="0" xfId="0" applyFont="1" applyBorder="1" applyAlignment="1">
      <alignment readingOrder="1"/>
    </xf>
    <xf numFmtId="0" fontId="2" fillId="0" borderId="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0" fontId="2" fillId="0" borderId="13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M1" sqref="M1"/>
    </sheetView>
  </sheetViews>
  <sheetFormatPr defaultRowHeight="15"/>
  <cols>
    <col min="1" max="1" width="21.7109375" customWidth="1"/>
    <col min="2" max="2" width="30" customWidth="1"/>
    <col min="3" max="3" width="16.42578125" customWidth="1"/>
    <col min="4" max="4" width="11.28515625" customWidth="1"/>
    <col min="5" max="7" width="14.7109375" customWidth="1"/>
    <col min="8" max="10" width="17" customWidth="1"/>
    <col min="11" max="12" width="21.7109375" customWidth="1"/>
    <col min="14" max="14" width="17.710937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3" t="s">
        <v>5</v>
      </c>
      <c r="G1" s="13" t="s">
        <v>6</v>
      </c>
      <c r="H1" s="13" t="s">
        <v>7</v>
      </c>
      <c r="I1" s="13"/>
      <c r="J1" s="13"/>
      <c r="K1" s="3" t="s">
        <v>8</v>
      </c>
      <c r="L1" s="11" t="s">
        <v>9</v>
      </c>
    </row>
    <row r="2" spans="1:12">
      <c r="A2" s="4" t="s">
        <v>10</v>
      </c>
      <c r="B2" s="5" t="s">
        <v>11</v>
      </c>
      <c r="C2" s="5" t="s">
        <v>12</v>
      </c>
      <c r="D2" s="5">
        <v>72</v>
      </c>
      <c r="E2" s="5" t="s">
        <v>13</v>
      </c>
      <c r="F2" s="14"/>
      <c r="G2" s="14"/>
      <c r="H2" s="14"/>
      <c r="I2" s="14" t="e">
        <f>D2/0</f>
        <v>#DIV/0!</v>
      </c>
      <c r="J2" s="14" t="str">
        <f>IFERROR(I2,"Invalid Calcuation")</f>
        <v>Invalid Calcuation</v>
      </c>
      <c r="K2" s="6">
        <v>91981111111</v>
      </c>
      <c r="L2" s="12" t="str">
        <f>IF(K2,"Available","Missing")</f>
        <v>Available</v>
      </c>
    </row>
    <row r="3" spans="1:12">
      <c r="A3" s="4" t="s">
        <v>14</v>
      </c>
      <c r="B3" s="5" t="s">
        <v>15</v>
      </c>
      <c r="C3" s="5" t="s">
        <v>16</v>
      </c>
      <c r="D3" s="5">
        <v>45</v>
      </c>
      <c r="E3" s="5" t="s">
        <v>17</v>
      </c>
      <c r="F3" s="14"/>
      <c r="G3" s="14"/>
      <c r="H3" s="14" t="s">
        <v>18</v>
      </c>
      <c r="I3" s="14" t="e">
        <f t="shared" ref="I3:I49" si="0">D3/0</f>
        <v>#DIV/0!</v>
      </c>
      <c r="J3" s="14" t="str">
        <f>IFERROR(I3,"Invalid Calcuation")</f>
        <v>Invalid Calcuation</v>
      </c>
      <c r="K3" s="6"/>
      <c r="L3" s="12" t="str">
        <f t="shared" ref="L3:L49" si="1">IF(K3,"Available","Missing")</f>
        <v>Missing</v>
      </c>
    </row>
    <row r="4" spans="1:12">
      <c r="A4" s="4" t="s">
        <v>19</v>
      </c>
      <c r="B4" s="5" t="s">
        <v>20</v>
      </c>
      <c r="C4" s="5" t="s">
        <v>21</v>
      </c>
      <c r="D4" s="5">
        <v>88</v>
      </c>
      <c r="E4" s="5" t="s">
        <v>13</v>
      </c>
      <c r="F4" s="14"/>
      <c r="G4" s="14"/>
      <c r="H4" s="14" t="s">
        <v>22</v>
      </c>
      <c r="I4" s="14" t="e">
        <f t="shared" si="0"/>
        <v>#DIV/0!</v>
      </c>
      <c r="J4" s="14" t="str">
        <f t="shared" ref="J3:J49" si="2">IFERROR(I4,"Invalid Calcuation")</f>
        <v>Invalid Calcuation</v>
      </c>
      <c r="K4" s="6">
        <v>91982222222</v>
      </c>
      <c r="L4" s="12" t="str">
        <f t="shared" si="1"/>
        <v>Available</v>
      </c>
    </row>
    <row r="5" spans="1:12">
      <c r="A5" s="4" t="s">
        <v>23</v>
      </c>
      <c r="B5" s="5" t="s">
        <v>24</v>
      </c>
      <c r="C5" s="5" t="s">
        <v>12</v>
      </c>
      <c r="D5" s="5">
        <v>61</v>
      </c>
      <c r="E5" s="5" t="s">
        <v>17</v>
      </c>
      <c r="F5" s="14" t="s">
        <v>25</v>
      </c>
      <c r="G5" s="14" t="s">
        <v>26</v>
      </c>
      <c r="H5" s="14"/>
      <c r="I5" s="14" t="e">
        <f t="shared" si="0"/>
        <v>#DIV/0!</v>
      </c>
      <c r="J5" s="14" t="str">
        <f t="shared" si="2"/>
        <v>Invalid Calcuation</v>
      </c>
      <c r="K5" s="6"/>
      <c r="L5" s="12" t="str">
        <f t="shared" si="1"/>
        <v>Missing</v>
      </c>
    </row>
    <row r="6" spans="1:12">
      <c r="A6" s="4" t="s">
        <v>27</v>
      </c>
      <c r="B6" s="5" t="s">
        <v>28</v>
      </c>
      <c r="C6" s="5" t="s">
        <v>29</v>
      </c>
      <c r="D6" s="5">
        <v>34</v>
      </c>
      <c r="E6" s="5" t="s">
        <v>13</v>
      </c>
      <c r="F6" s="14" t="s">
        <v>17</v>
      </c>
      <c r="G6" s="14"/>
      <c r="H6" s="14"/>
      <c r="I6" s="14" t="e">
        <f t="shared" si="0"/>
        <v>#DIV/0!</v>
      </c>
      <c r="J6" s="14" t="str">
        <f t="shared" si="2"/>
        <v>Invalid Calcuation</v>
      </c>
      <c r="K6" s="6">
        <v>91983333333</v>
      </c>
      <c r="L6" s="12" t="str">
        <f t="shared" si="1"/>
        <v>Available</v>
      </c>
    </row>
    <row r="7" spans="1:12">
      <c r="A7" s="4" t="s">
        <v>30</v>
      </c>
      <c r="B7" s="5" t="s">
        <v>31</v>
      </c>
      <c r="C7" s="5" t="s">
        <v>16</v>
      </c>
      <c r="D7" s="5">
        <v>79</v>
      </c>
      <c r="E7" s="5" t="s">
        <v>17</v>
      </c>
      <c r="F7" s="14">
        <f>AVERAGEIF(E2:E49,"B",D2:D49)</f>
        <v>60.791666666666664</v>
      </c>
      <c r="G7" s="14">
        <f>AVERAGEIFS(D2:D49,E2:E49,"A",D2:D49,"&gt;60")</f>
        <v>75.6875</v>
      </c>
      <c r="H7" s="14"/>
      <c r="I7" s="14" t="e">
        <f t="shared" si="0"/>
        <v>#DIV/0!</v>
      </c>
      <c r="J7" s="14" t="str">
        <f t="shared" si="2"/>
        <v>Invalid Calcuation</v>
      </c>
      <c r="K7" s="6">
        <v>91984444444</v>
      </c>
      <c r="L7" s="12" t="str">
        <f t="shared" si="1"/>
        <v>Available</v>
      </c>
    </row>
    <row r="8" spans="1:12">
      <c r="A8" s="4" t="s">
        <v>32</v>
      </c>
      <c r="B8" s="5" t="s">
        <v>33</v>
      </c>
      <c r="C8" s="5" t="s">
        <v>12</v>
      </c>
      <c r="D8" s="5">
        <v>55</v>
      </c>
      <c r="E8" s="5" t="s">
        <v>13</v>
      </c>
      <c r="F8" s="14"/>
      <c r="G8" s="14"/>
      <c r="H8" s="14">
        <f>SUMIFS(D2:D49,E2:E49,"A",D2:D49,"&gt;=40")</f>
        <v>1462</v>
      </c>
      <c r="I8" s="14" t="e">
        <f t="shared" si="0"/>
        <v>#DIV/0!</v>
      </c>
      <c r="J8" s="14" t="str">
        <f t="shared" si="2"/>
        <v>Invalid Calcuation</v>
      </c>
      <c r="K8" s="6"/>
      <c r="L8" s="12" t="str">
        <f t="shared" si="1"/>
        <v>Missing</v>
      </c>
    </row>
    <row r="9" spans="1:12">
      <c r="A9" s="4" t="s">
        <v>34</v>
      </c>
      <c r="B9" s="5" t="s">
        <v>35</v>
      </c>
      <c r="C9" s="5" t="s">
        <v>21</v>
      </c>
      <c r="D9" s="5">
        <v>92</v>
      </c>
      <c r="E9" s="5" t="s">
        <v>17</v>
      </c>
      <c r="F9" s="14"/>
      <c r="G9" s="14"/>
      <c r="H9" s="14"/>
      <c r="I9" s="14" t="e">
        <f t="shared" si="0"/>
        <v>#DIV/0!</v>
      </c>
      <c r="J9" s="14" t="str">
        <f t="shared" si="2"/>
        <v>Invalid Calcuation</v>
      </c>
      <c r="K9" s="6">
        <v>91985555555</v>
      </c>
      <c r="L9" s="12" t="str">
        <f t="shared" si="1"/>
        <v>Available</v>
      </c>
    </row>
    <row r="10" spans="1:12">
      <c r="A10" s="4" t="s">
        <v>36</v>
      </c>
      <c r="B10" s="5" t="s">
        <v>37</v>
      </c>
      <c r="C10" s="5" t="s">
        <v>12</v>
      </c>
      <c r="D10" s="5">
        <v>28</v>
      </c>
      <c r="E10" s="5" t="s">
        <v>13</v>
      </c>
      <c r="F10" s="14"/>
      <c r="G10" s="14"/>
      <c r="H10" s="14"/>
      <c r="I10" s="14" t="e">
        <f t="shared" si="0"/>
        <v>#DIV/0!</v>
      </c>
      <c r="J10" s="14" t="str">
        <f t="shared" si="2"/>
        <v>Invalid Calcuation</v>
      </c>
      <c r="K10" s="6"/>
      <c r="L10" s="12" t="str">
        <f t="shared" si="1"/>
        <v>Missing</v>
      </c>
    </row>
    <row r="11" spans="1:12">
      <c r="A11" s="4" t="s">
        <v>38</v>
      </c>
      <c r="B11" s="5" t="s">
        <v>39</v>
      </c>
      <c r="C11" s="5" t="s">
        <v>16</v>
      </c>
      <c r="D11" s="5">
        <v>66</v>
      </c>
      <c r="E11" s="5" t="s">
        <v>17</v>
      </c>
      <c r="F11" s="14"/>
      <c r="G11" s="14"/>
      <c r="H11" s="14"/>
      <c r="I11" s="14" t="e">
        <f t="shared" si="0"/>
        <v>#DIV/0!</v>
      </c>
      <c r="J11" s="14" t="str">
        <f t="shared" si="2"/>
        <v>Invalid Calcuation</v>
      </c>
      <c r="K11" s="6">
        <v>91986666666</v>
      </c>
      <c r="L11" s="12" t="str">
        <f t="shared" si="1"/>
        <v>Available</v>
      </c>
    </row>
    <row r="12" spans="1:12">
      <c r="A12" s="4" t="s">
        <v>40</v>
      </c>
      <c r="B12" s="5" t="s">
        <v>41</v>
      </c>
      <c r="C12" s="5" t="s">
        <v>12</v>
      </c>
      <c r="D12" s="5">
        <v>84</v>
      </c>
      <c r="E12" s="5" t="s">
        <v>13</v>
      </c>
      <c r="F12" s="14"/>
      <c r="G12" s="14"/>
      <c r="H12" s="14"/>
      <c r="I12" s="14" t="e">
        <f t="shared" si="0"/>
        <v>#DIV/0!</v>
      </c>
      <c r="J12" s="14" t="str">
        <f t="shared" si="2"/>
        <v>Invalid Calcuation</v>
      </c>
      <c r="K12" s="6">
        <v>91987777777</v>
      </c>
      <c r="L12" s="12" t="str">
        <f t="shared" si="1"/>
        <v>Available</v>
      </c>
    </row>
    <row r="13" spans="1:12">
      <c r="A13" s="4" t="s">
        <v>42</v>
      </c>
      <c r="B13" s="5" t="s">
        <v>43</v>
      </c>
      <c r="C13" s="5" t="s">
        <v>29</v>
      </c>
      <c r="D13" s="5">
        <v>49</v>
      </c>
      <c r="E13" s="5" t="s">
        <v>17</v>
      </c>
      <c r="F13" s="14"/>
      <c r="G13" s="14"/>
      <c r="H13" s="14"/>
      <c r="I13" s="14" t="e">
        <f t="shared" si="0"/>
        <v>#DIV/0!</v>
      </c>
      <c r="J13" s="14" t="str">
        <f t="shared" si="2"/>
        <v>Invalid Calcuation</v>
      </c>
      <c r="K13" s="6"/>
      <c r="L13" s="12" t="str">
        <f t="shared" si="1"/>
        <v>Missing</v>
      </c>
    </row>
    <row r="14" spans="1:12">
      <c r="A14" s="4" t="s">
        <v>44</v>
      </c>
      <c r="B14" s="5" t="s">
        <v>45</v>
      </c>
      <c r="C14" s="5" t="s">
        <v>12</v>
      </c>
      <c r="D14" s="5">
        <v>37</v>
      </c>
      <c r="E14" s="5" t="s">
        <v>13</v>
      </c>
      <c r="F14" s="14"/>
      <c r="G14" s="14"/>
      <c r="H14" s="14"/>
      <c r="I14" s="14" t="e">
        <f t="shared" si="0"/>
        <v>#DIV/0!</v>
      </c>
      <c r="J14" s="14" t="str">
        <f t="shared" si="2"/>
        <v>Invalid Calcuation</v>
      </c>
      <c r="K14" s="6"/>
      <c r="L14" s="12" t="str">
        <f t="shared" si="1"/>
        <v>Missing</v>
      </c>
    </row>
    <row r="15" spans="1:12">
      <c r="A15" s="4" t="s">
        <v>46</v>
      </c>
      <c r="B15" s="5" t="s">
        <v>47</v>
      </c>
      <c r="C15" s="5" t="s">
        <v>16</v>
      </c>
      <c r="D15" s="5">
        <v>91</v>
      </c>
      <c r="E15" s="5" t="s">
        <v>17</v>
      </c>
      <c r="F15" s="14"/>
      <c r="G15" s="14"/>
      <c r="H15" s="14"/>
      <c r="I15" s="14" t="e">
        <f t="shared" si="0"/>
        <v>#DIV/0!</v>
      </c>
      <c r="J15" s="14" t="str">
        <f t="shared" si="2"/>
        <v>Invalid Calcuation</v>
      </c>
      <c r="K15" s="6">
        <v>91988888888</v>
      </c>
      <c r="L15" s="12" t="str">
        <f t="shared" si="1"/>
        <v>Available</v>
      </c>
    </row>
    <row r="16" spans="1:12">
      <c r="A16" s="4" t="s">
        <v>48</v>
      </c>
      <c r="B16" s="5" t="s">
        <v>49</v>
      </c>
      <c r="C16" s="5" t="s">
        <v>12</v>
      </c>
      <c r="D16" s="5">
        <v>63</v>
      </c>
      <c r="E16" s="5" t="s">
        <v>13</v>
      </c>
      <c r="F16" s="14"/>
      <c r="G16" s="14"/>
      <c r="H16" s="14"/>
      <c r="I16" s="14" t="e">
        <f t="shared" si="0"/>
        <v>#DIV/0!</v>
      </c>
      <c r="J16" s="14" t="str">
        <f t="shared" si="2"/>
        <v>Invalid Calcuation</v>
      </c>
      <c r="K16" s="6"/>
      <c r="L16" s="12" t="str">
        <f t="shared" si="1"/>
        <v>Missing</v>
      </c>
    </row>
    <row r="17" spans="1:12">
      <c r="A17" s="4" t="s">
        <v>50</v>
      </c>
      <c r="B17" s="5" t="s">
        <v>51</v>
      </c>
      <c r="C17" s="5" t="s">
        <v>21</v>
      </c>
      <c r="D17" s="5">
        <v>58</v>
      </c>
      <c r="E17" s="5" t="s">
        <v>17</v>
      </c>
      <c r="F17" s="14"/>
      <c r="G17" s="14"/>
      <c r="H17" s="14"/>
      <c r="I17" s="14" t="e">
        <f t="shared" si="0"/>
        <v>#DIV/0!</v>
      </c>
      <c r="J17" s="14" t="str">
        <f t="shared" si="2"/>
        <v>Invalid Calcuation</v>
      </c>
      <c r="K17" s="6"/>
      <c r="L17" s="12" t="str">
        <f t="shared" si="1"/>
        <v>Missing</v>
      </c>
    </row>
    <row r="18" spans="1:12">
      <c r="A18" s="4" t="s">
        <v>52</v>
      </c>
      <c r="B18" s="5" t="s">
        <v>53</v>
      </c>
      <c r="C18" s="5" t="s">
        <v>12</v>
      </c>
      <c r="D18" s="5">
        <v>76</v>
      </c>
      <c r="E18" s="5" t="s">
        <v>13</v>
      </c>
      <c r="F18" s="14"/>
      <c r="G18" s="14"/>
      <c r="H18" s="14"/>
      <c r="I18" s="14" t="e">
        <f t="shared" si="0"/>
        <v>#DIV/0!</v>
      </c>
      <c r="J18" s="14" t="str">
        <f t="shared" si="2"/>
        <v>Invalid Calcuation</v>
      </c>
      <c r="K18" s="6">
        <v>91989999999</v>
      </c>
      <c r="L18" s="12" t="str">
        <f t="shared" si="1"/>
        <v>Available</v>
      </c>
    </row>
    <row r="19" spans="1:12">
      <c r="A19" s="4" t="s">
        <v>54</v>
      </c>
      <c r="B19" s="5" t="s">
        <v>55</v>
      </c>
      <c r="C19" s="5" t="s">
        <v>16</v>
      </c>
      <c r="D19" s="5">
        <v>41</v>
      </c>
      <c r="E19" s="5" t="s">
        <v>17</v>
      </c>
      <c r="F19" s="14"/>
      <c r="G19" s="14"/>
      <c r="H19" s="14"/>
      <c r="I19" s="14" t="e">
        <f t="shared" si="0"/>
        <v>#DIV/0!</v>
      </c>
      <c r="J19" s="14" t="str">
        <f t="shared" si="2"/>
        <v>Invalid Calcuation</v>
      </c>
      <c r="K19" s="6"/>
      <c r="L19" s="12" t="str">
        <f t="shared" si="1"/>
        <v>Missing</v>
      </c>
    </row>
    <row r="20" spans="1:12">
      <c r="A20" s="4" t="s">
        <v>56</v>
      </c>
      <c r="B20" s="5" t="s">
        <v>57</v>
      </c>
      <c r="C20" s="5" t="s">
        <v>12</v>
      </c>
      <c r="D20" s="5">
        <v>89</v>
      </c>
      <c r="E20" s="5" t="s">
        <v>13</v>
      </c>
      <c r="F20" s="14"/>
      <c r="G20" s="14"/>
      <c r="H20" s="14"/>
      <c r="I20" s="14" t="e">
        <f t="shared" si="0"/>
        <v>#DIV/0!</v>
      </c>
      <c r="J20" s="14" t="str">
        <f t="shared" si="2"/>
        <v>Invalid Calcuation</v>
      </c>
      <c r="K20" s="6">
        <v>91990000000</v>
      </c>
      <c r="L20" s="12" t="str">
        <f t="shared" si="1"/>
        <v>Available</v>
      </c>
    </row>
    <row r="21" spans="1:12">
      <c r="A21" s="4" t="s">
        <v>58</v>
      </c>
      <c r="B21" s="5" t="s">
        <v>59</v>
      </c>
      <c r="C21" s="5" t="s">
        <v>29</v>
      </c>
      <c r="D21" s="5">
        <v>35</v>
      </c>
      <c r="E21" s="5" t="s">
        <v>17</v>
      </c>
      <c r="F21" s="14"/>
      <c r="G21" s="14"/>
      <c r="H21" s="14"/>
      <c r="I21" s="14" t="e">
        <f t="shared" si="0"/>
        <v>#DIV/0!</v>
      </c>
      <c r="J21" s="14" t="str">
        <f t="shared" si="2"/>
        <v>Invalid Calcuation</v>
      </c>
      <c r="K21" s="6"/>
      <c r="L21" s="12" t="str">
        <f t="shared" si="1"/>
        <v>Missing</v>
      </c>
    </row>
    <row r="22" spans="1:12">
      <c r="A22" s="4" t="s">
        <v>60</v>
      </c>
      <c r="B22" s="5" t="s">
        <v>61</v>
      </c>
      <c r="C22" s="5" t="s">
        <v>12</v>
      </c>
      <c r="D22" s="5">
        <v>68</v>
      </c>
      <c r="E22" s="5" t="s">
        <v>13</v>
      </c>
      <c r="F22" s="14"/>
      <c r="G22" s="14"/>
      <c r="H22" s="14"/>
      <c r="I22" s="14" t="e">
        <f t="shared" si="0"/>
        <v>#DIV/0!</v>
      </c>
      <c r="J22" s="14" t="str">
        <f t="shared" si="2"/>
        <v>Invalid Calcuation</v>
      </c>
      <c r="K22" s="6"/>
      <c r="L22" s="12" t="str">
        <f t="shared" si="1"/>
        <v>Missing</v>
      </c>
    </row>
    <row r="23" spans="1:12">
      <c r="A23" s="4" t="s">
        <v>62</v>
      </c>
      <c r="B23" s="5" t="s">
        <v>63</v>
      </c>
      <c r="C23" s="5" t="s">
        <v>16</v>
      </c>
      <c r="D23" s="5">
        <v>94</v>
      </c>
      <c r="E23" s="5" t="s">
        <v>17</v>
      </c>
      <c r="F23" s="14"/>
      <c r="G23" s="14"/>
      <c r="H23" s="14"/>
      <c r="I23" s="14" t="e">
        <f t="shared" si="0"/>
        <v>#DIV/0!</v>
      </c>
      <c r="J23" s="14" t="str">
        <f t="shared" si="2"/>
        <v>Invalid Calcuation</v>
      </c>
      <c r="K23" s="6">
        <v>91991111111</v>
      </c>
      <c r="L23" s="12" t="str">
        <f t="shared" si="1"/>
        <v>Available</v>
      </c>
    </row>
    <row r="24" spans="1:12">
      <c r="A24" s="4" t="s">
        <v>64</v>
      </c>
      <c r="B24" s="5" t="s">
        <v>65</v>
      </c>
      <c r="C24" s="5" t="s">
        <v>12</v>
      </c>
      <c r="D24" s="5">
        <v>52</v>
      </c>
      <c r="E24" s="5" t="s">
        <v>13</v>
      </c>
      <c r="F24" s="14"/>
      <c r="G24" s="14"/>
      <c r="H24" s="14"/>
      <c r="I24" s="14" t="e">
        <f t="shared" si="0"/>
        <v>#DIV/0!</v>
      </c>
      <c r="J24" s="14" t="str">
        <f t="shared" si="2"/>
        <v>Invalid Calcuation</v>
      </c>
      <c r="K24" s="6"/>
      <c r="L24" s="12" t="str">
        <f t="shared" si="1"/>
        <v>Missing</v>
      </c>
    </row>
    <row r="25" spans="1:12">
      <c r="A25" s="4" t="s">
        <v>66</v>
      </c>
      <c r="B25" s="5" t="s">
        <v>67</v>
      </c>
      <c r="C25" s="5" t="s">
        <v>21</v>
      </c>
      <c r="D25" s="5">
        <v>47</v>
      </c>
      <c r="E25" s="5" t="s">
        <v>17</v>
      </c>
      <c r="F25" s="14"/>
      <c r="G25" s="14"/>
      <c r="H25" s="14"/>
      <c r="I25" s="14" t="e">
        <f t="shared" si="0"/>
        <v>#DIV/0!</v>
      </c>
      <c r="J25" s="14" t="str">
        <f t="shared" si="2"/>
        <v>Invalid Calcuation</v>
      </c>
      <c r="K25" s="6"/>
      <c r="L25" s="12" t="str">
        <f t="shared" si="1"/>
        <v>Missing</v>
      </c>
    </row>
    <row r="26" spans="1:12">
      <c r="A26" s="4" t="s">
        <v>68</v>
      </c>
      <c r="B26" s="5" t="s">
        <v>69</v>
      </c>
      <c r="C26" s="5" t="s">
        <v>12</v>
      </c>
      <c r="D26" s="5">
        <v>81</v>
      </c>
      <c r="E26" s="5" t="s">
        <v>13</v>
      </c>
      <c r="F26" s="14"/>
      <c r="G26" s="14"/>
      <c r="H26" s="14"/>
      <c r="I26" s="14" t="e">
        <f t="shared" si="0"/>
        <v>#DIV/0!</v>
      </c>
      <c r="J26" s="14" t="str">
        <f t="shared" si="2"/>
        <v>Invalid Calcuation</v>
      </c>
      <c r="K26" s="6">
        <v>91992222222</v>
      </c>
      <c r="L26" s="12" t="str">
        <f t="shared" si="1"/>
        <v>Available</v>
      </c>
    </row>
    <row r="27" spans="1:12">
      <c r="A27" s="4" t="s">
        <v>70</v>
      </c>
      <c r="B27" s="5" t="s">
        <v>71</v>
      </c>
      <c r="C27" s="5" t="s">
        <v>16</v>
      </c>
      <c r="D27" s="5">
        <v>39</v>
      </c>
      <c r="E27" s="5" t="s">
        <v>17</v>
      </c>
      <c r="F27" s="14"/>
      <c r="G27" s="14"/>
      <c r="H27" s="14"/>
      <c r="I27" s="14" t="e">
        <f t="shared" si="0"/>
        <v>#DIV/0!</v>
      </c>
      <c r="J27" s="14" t="str">
        <f t="shared" si="2"/>
        <v>Invalid Calcuation</v>
      </c>
      <c r="K27" s="6"/>
      <c r="L27" s="12" t="str">
        <f t="shared" si="1"/>
        <v>Missing</v>
      </c>
    </row>
    <row r="28" spans="1:12">
      <c r="A28" s="4" t="s">
        <v>72</v>
      </c>
      <c r="B28" s="5" t="s">
        <v>73</v>
      </c>
      <c r="C28" s="5" t="s">
        <v>12</v>
      </c>
      <c r="D28" s="5">
        <v>73</v>
      </c>
      <c r="E28" s="5" t="s">
        <v>13</v>
      </c>
      <c r="F28" s="14"/>
      <c r="G28" s="14"/>
      <c r="H28" s="14"/>
      <c r="I28" s="14" t="e">
        <f t="shared" si="0"/>
        <v>#DIV/0!</v>
      </c>
      <c r="J28" s="14" t="str">
        <f t="shared" si="2"/>
        <v>Invalid Calcuation</v>
      </c>
      <c r="K28" s="6">
        <v>91993333333</v>
      </c>
      <c r="L28" s="12" t="str">
        <f t="shared" si="1"/>
        <v>Available</v>
      </c>
    </row>
    <row r="29" spans="1:12">
      <c r="A29" s="4" t="s">
        <v>74</v>
      </c>
      <c r="B29" s="5" t="s">
        <v>75</v>
      </c>
      <c r="C29" s="5" t="s">
        <v>29</v>
      </c>
      <c r="D29" s="5">
        <v>44</v>
      </c>
      <c r="E29" s="5" t="s">
        <v>17</v>
      </c>
      <c r="F29" s="14"/>
      <c r="G29" s="14"/>
      <c r="H29" s="14"/>
      <c r="I29" s="14" t="e">
        <f t="shared" si="0"/>
        <v>#DIV/0!</v>
      </c>
      <c r="J29" s="14" t="str">
        <f t="shared" si="2"/>
        <v>Invalid Calcuation</v>
      </c>
      <c r="K29" s="6"/>
      <c r="L29" s="12" t="str">
        <f t="shared" si="1"/>
        <v>Missing</v>
      </c>
    </row>
    <row r="30" spans="1:12">
      <c r="A30" s="4" t="s">
        <v>76</v>
      </c>
      <c r="B30" s="5" t="s">
        <v>77</v>
      </c>
      <c r="C30" s="5" t="s">
        <v>12</v>
      </c>
      <c r="D30" s="5">
        <v>65</v>
      </c>
      <c r="E30" s="5" t="s">
        <v>13</v>
      </c>
      <c r="F30" s="14"/>
      <c r="G30" s="14"/>
      <c r="H30" s="14"/>
      <c r="I30" s="14" t="e">
        <f t="shared" si="0"/>
        <v>#DIV/0!</v>
      </c>
      <c r="J30" s="14" t="str">
        <f t="shared" si="2"/>
        <v>Invalid Calcuation</v>
      </c>
      <c r="K30" s="6"/>
      <c r="L30" s="12" t="str">
        <f t="shared" si="1"/>
        <v>Missing</v>
      </c>
    </row>
    <row r="31" spans="1:12">
      <c r="A31" s="4" t="s">
        <v>78</v>
      </c>
      <c r="B31" s="5" t="s">
        <v>79</v>
      </c>
      <c r="C31" s="5" t="s">
        <v>16</v>
      </c>
      <c r="D31" s="5">
        <v>90</v>
      </c>
      <c r="E31" s="5" t="s">
        <v>17</v>
      </c>
      <c r="F31" s="14"/>
      <c r="G31" s="14"/>
      <c r="H31" s="14"/>
      <c r="I31" s="14" t="e">
        <f t="shared" si="0"/>
        <v>#DIV/0!</v>
      </c>
      <c r="J31" s="14" t="str">
        <f t="shared" si="2"/>
        <v>Invalid Calcuation</v>
      </c>
      <c r="K31" s="6">
        <v>91994444444</v>
      </c>
      <c r="L31" s="12" t="str">
        <f t="shared" si="1"/>
        <v>Available</v>
      </c>
    </row>
    <row r="32" spans="1:12">
      <c r="A32" s="4" t="s">
        <v>80</v>
      </c>
      <c r="B32" s="5" t="s">
        <v>81</v>
      </c>
      <c r="C32" s="5" t="s">
        <v>12</v>
      </c>
      <c r="D32" s="5">
        <v>57</v>
      </c>
      <c r="E32" s="5" t="s">
        <v>13</v>
      </c>
      <c r="F32" s="14"/>
      <c r="G32" s="14"/>
      <c r="H32" s="14"/>
      <c r="I32" s="14" t="e">
        <f t="shared" si="0"/>
        <v>#DIV/0!</v>
      </c>
      <c r="J32" s="14" t="str">
        <f t="shared" si="2"/>
        <v>Invalid Calcuation</v>
      </c>
      <c r="K32" s="6"/>
      <c r="L32" s="12" t="str">
        <f t="shared" si="1"/>
        <v>Missing</v>
      </c>
    </row>
    <row r="33" spans="1:12">
      <c r="A33" s="4" t="s">
        <v>82</v>
      </c>
      <c r="B33" s="5" t="s">
        <v>83</v>
      </c>
      <c r="C33" s="5" t="s">
        <v>21</v>
      </c>
      <c r="D33" s="5">
        <v>32</v>
      </c>
      <c r="E33" s="5" t="s">
        <v>17</v>
      </c>
      <c r="F33" s="14"/>
      <c r="G33" s="14"/>
      <c r="H33" s="14"/>
      <c r="I33" s="14" t="e">
        <f t="shared" si="0"/>
        <v>#DIV/0!</v>
      </c>
      <c r="J33" s="14" t="str">
        <f t="shared" si="2"/>
        <v>Invalid Calcuation</v>
      </c>
      <c r="K33" s="6"/>
      <c r="L33" s="12" t="str">
        <f t="shared" si="1"/>
        <v>Missing</v>
      </c>
    </row>
    <row r="34" spans="1:12">
      <c r="A34" s="4" t="s">
        <v>84</v>
      </c>
      <c r="B34" s="5" t="s">
        <v>85</v>
      </c>
      <c r="C34" s="5" t="s">
        <v>12</v>
      </c>
      <c r="D34" s="5">
        <v>78</v>
      </c>
      <c r="E34" s="5" t="s">
        <v>13</v>
      </c>
      <c r="F34" s="14"/>
      <c r="G34" s="14"/>
      <c r="H34" s="14"/>
      <c r="I34" s="14" t="e">
        <f t="shared" si="0"/>
        <v>#DIV/0!</v>
      </c>
      <c r="J34" s="14" t="str">
        <f t="shared" si="2"/>
        <v>Invalid Calcuation</v>
      </c>
      <c r="K34" s="6">
        <v>91995555555</v>
      </c>
      <c r="L34" s="12" t="str">
        <f t="shared" si="1"/>
        <v>Available</v>
      </c>
    </row>
    <row r="35" spans="1:12">
      <c r="A35" s="4" t="s">
        <v>86</v>
      </c>
      <c r="B35" s="5" t="s">
        <v>87</v>
      </c>
      <c r="C35" s="5" t="s">
        <v>16</v>
      </c>
      <c r="D35" s="5">
        <v>59</v>
      </c>
      <c r="E35" s="5" t="s">
        <v>17</v>
      </c>
      <c r="F35" s="14"/>
      <c r="G35" s="14"/>
      <c r="H35" s="14"/>
      <c r="I35" s="14" t="e">
        <f t="shared" si="0"/>
        <v>#DIV/0!</v>
      </c>
      <c r="J35" s="14" t="str">
        <f t="shared" si="2"/>
        <v>Invalid Calcuation</v>
      </c>
      <c r="K35" s="6"/>
      <c r="L35" s="12" t="str">
        <f t="shared" si="1"/>
        <v>Missing</v>
      </c>
    </row>
    <row r="36" spans="1:12">
      <c r="A36" s="4" t="s">
        <v>88</v>
      </c>
      <c r="B36" s="5" t="s">
        <v>89</v>
      </c>
      <c r="C36" s="5" t="s">
        <v>12</v>
      </c>
      <c r="D36" s="5">
        <v>46</v>
      </c>
      <c r="E36" s="5" t="s">
        <v>13</v>
      </c>
      <c r="F36" s="14"/>
      <c r="G36" s="14"/>
      <c r="H36" s="14"/>
      <c r="I36" s="14" t="e">
        <f t="shared" si="0"/>
        <v>#DIV/0!</v>
      </c>
      <c r="J36" s="14" t="str">
        <f t="shared" si="2"/>
        <v>Invalid Calcuation</v>
      </c>
      <c r="K36" s="6"/>
      <c r="L36" s="12" t="str">
        <f t="shared" si="1"/>
        <v>Missing</v>
      </c>
    </row>
    <row r="37" spans="1:12">
      <c r="A37" s="4" t="s">
        <v>90</v>
      </c>
      <c r="B37" s="5" t="s">
        <v>91</v>
      </c>
      <c r="C37" s="5" t="s">
        <v>29</v>
      </c>
      <c r="D37" s="5">
        <v>86</v>
      </c>
      <c r="E37" s="5" t="s">
        <v>17</v>
      </c>
      <c r="F37" s="14"/>
      <c r="G37" s="14"/>
      <c r="H37" s="14"/>
      <c r="I37" s="14" t="e">
        <f t="shared" si="0"/>
        <v>#DIV/0!</v>
      </c>
      <c r="J37" s="14" t="str">
        <f t="shared" si="2"/>
        <v>Invalid Calcuation</v>
      </c>
      <c r="K37" s="6">
        <v>91996666666</v>
      </c>
      <c r="L37" s="12" t="str">
        <f t="shared" si="1"/>
        <v>Available</v>
      </c>
    </row>
    <row r="38" spans="1:12">
      <c r="A38" s="4" t="s">
        <v>92</v>
      </c>
      <c r="B38" s="5" t="s">
        <v>93</v>
      </c>
      <c r="C38" s="5" t="s">
        <v>12</v>
      </c>
      <c r="D38" s="5">
        <v>69</v>
      </c>
      <c r="E38" s="5" t="s">
        <v>13</v>
      </c>
      <c r="F38" s="14"/>
      <c r="G38" s="14"/>
      <c r="H38" s="14"/>
      <c r="I38" s="14" t="e">
        <f t="shared" si="0"/>
        <v>#DIV/0!</v>
      </c>
      <c r="J38" s="14" t="str">
        <f t="shared" si="2"/>
        <v>Invalid Calcuation</v>
      </c>
      <c r="K38" s="6"/>
      <c r="L38" s="12" t="str">
        <f t="shared" si="1"/>
        <v>Missing</v>
      </c>
    </row>
    <row r="39" spans="1:12">
      <c r="A39" s="4" t="s">
        <v>94</v>
      </c>
      <c r="B39" s="5" t="s">
        <v>95</v>
      </c>
      <c r="C39" s="5" t="s">
        <v>16</v>
      </c>
      <c r="D39" s="5">
        <v>53</v>
      </c>
      <c r="E39" s="5" t="s">
        <v>17</v>
      </c>
      <c r="F39" s="14"/>
      <c r="G39" s="14"/>
      <c r="H39" s="14"/>
      <c r="I39" s="14" t="e">
        <f t="shared" si="0"/>
        <v>#DIV/0!</v>
      </c>
      <c r="J39" s="14" t="str">
        <f t="shared" si="2"/>
        <v>Invalid Calcuation</v>
      </c>
      <c r="K39" s="6"/>
      <c r="L39" s="12" t="str">
        <f t="shared" si="1"/>
        <v>Missing</v>
      </c>
    </row>
    <row r="40" spans="1:12">
      <c r="A40" s="4" t="s">
        <v>96</v>
      </c>
      <c r="B40" s="5" t="s">
        <v>97</v>
      </c>
      <c r="C40" s="5" t="s">
        <v>12</v>
      </c>
      <c r="D40" s="5">
        <v>41</v>
      </c>
      <c r="E40" s="5" t="s">
        <v>13</v>
      </c>
      <c r="F40" s="14"/>
      <c r="G40" s="14"/>
      <c r="H40" s="14"/>
      <c r="I40" s="14" t="e">
        <f t="shared" si="0"/>
        <v>#DIV/0!</v>
      </c>
      <c r="J40" s="14" t="str">
        <f t="shared" si="2"/>
        <v>Invalid Calcuation</v>
      </c>
      <c r="K40" s="6"/>
      <c r="L40" s="12" t="str">
        <f t="shared" si="1"/>
        <v>Missing</v>
      </c>
    </row>
    <row r="41" spans="1:12">
      <c r="A41" s="4" t="s">
        <v>98</v>
      </c>
      <c r="B41" s="5" t="s">
        <v>99</v>
      </c>
      <c r="C41" s="5" t="s">
        <v>21</v>
      </c>
      <c r="D41" s="5">
        <v>97</v>
      </c>
      <c r="E41" s="5" t="s">
        <v>17</v>
      </c>
      <c r="F41" s="14"/>
      <c r="G41" s="14"/>
      <c r="H41" s="14"/>
      <c r="I41" s="14" t="e">
        <f t="shared" si="0"/>
        <v>#DIV/0!</v>
      </c>
      <c r="J41" s="14" t="str">
        <f t="shared" si="2"/>
        <v>Invalid Calcuation</v>
      </c>
      <c r="K41" s="6">
        <v>91997777777</v>
      </c>
      <c r="L41" s="12" t="str">
        <f t="shared" si="1"/>
        <v>Available</v>
      </c>
    </row>
    <row r="42" spans="1:12">
      <c r="A42" s="4" t="s">
        <v>100</v>
      </c>
      <c r="B42" s="5" t="s">
        <v>101</v>
      </c>
      <c r="C42" s="5" t="s">
        <v>12</v>
      </c>
      <c r="D42" s="5">
        <v>64</v>
      </c>
      <c r="E42" s="5" t="s">
        <v>13</v>
      </c>
      <c r="F42" s="14"/>
      <c r="G42" s="14"/>
      <c r="H42" s="14"/>
      <c r="I42" s="14" t="e">
        <f t="shared" si="0"/>
        <v>#DIV/0!</v>
      </c>
      <c r="J42" s="14" t="str">
        <f t="shared" si="2"/>
        <v>Invalid Calcuation</v>
      </c>
      <c r="K42" s="6"/>
      <c r="L42" s="12" t="str">
        <f t="shared" si="1"/>
        <v>Missing</v>
      </c>
    </row>
    <row r="43" spans="1:12">
      <c r="A43" s="4" t="s">
        <v>102</v>
      </c>
      <c r="B43" s="5" t="s">
        <v>103</v>
      </c>
      <c r="C43" s="5" t="s">
        <v>16</v>
      </c>
      <c r="D43" s="5">
        <v>36</v>
      </c>
      <c r="E43" s="5" t="s">
        <v>17</v>
      </c>
      <c r="F43" s="14"/>
      <c r="G43" s="14"/>
      <c r="H43" s="14"/>
      <c r="I43" s="14" t="e">
        <f t="shared" si="0"/>
        <v>#DIV/0!</v>
      </c>
      <c r="J43" s="14" t="str">
        <f t="shared" si="2"/>
        <v>Invalid Calcuation</v>
      </c>
      <c r="K43" s="6"/>
      <c r="L43" s="12" t="str">
        <f t="shared" si="1"/>
        <v>Missing</v>
      </c>
    </row>
    <row r="44" spans="1:12">
      <c r="A44" s="4" t="s">
        <v>104</v>
      </c>
      <c r="B44" s="5" t="s">
        <v>105</v>
      </c>
      <c r="C44" s="5" t="s">
        <v>12</v>
      </c>
      <c r="D44" s="5">
        <v>82</v>
      </c>
      <c r="E44" s="5" t="s">
        <v>13</v>
      </c>
      <c r="F44" s="14"/>
      <c r="G44" s="14"/>
      <c r="H44" s="14"/>
      <c r="I44" s="14" t="e">
        <f t="shared" si="0"/>
        <v>#DIV/0!</v>
      </c>
      <c r="J44" s="14" t="str">
        <f t="shared" si="2"/>
        <v>Invalid Calcuation</v>
      </c>
      <c r="K44" s="6">
        <v>91998888888</v>
      </c>
      <c r="L44" s="12" t="str">
        <f t="shared" si="1"/>
        <v>Available</v>
      </c>
    </row>
    <row r="45" spans="1:12">
      <c r="A45" s="4" t="s">
        <v>106</v>
      </c>
      <c r="B45" s="5" t="s">
        <v>107</v>
      </c>
      <c r="C45" s="5" t="s">
        <v>29</v>
      </c>
      <c r="D45" s="5">
        <v>48</v>
      </c>
      <c r="E45" s="5" t="s">
        <v>17</v>
      </c>
      <c r="F45" s="14"/>
      <c r="G45" s="14"/>
      <c r="H45" s="14"/>
      <c r="I45" s="14" t="e">
        <f t="shared" si="0"/>
        <v>#DIV/0!</v>
      </c>
      <c r="J45" s="14" t="str">
        <f t="shared" si="2"/>
        <v>Invalid Calcuation</v>
      </c>
      <c r="K45" s="6"/>
      <c r="L45" s="12" t="str">
        <f t="shared" si="1"/>
        <v>Missing</v>
      </c>
    </row>
    <row r="46" spans="1:12">
      <c r="A46" s="4" t="s">
        <v>108</v>
      </c>
      <c r="B46" s="5" t="s">
        <v>109</v>
      </c>
      <c r="C46" s="5" t="s">
        <v>12</v>
      </c>
      <c r="D46" s="5">
        <v>71</v>
      </c>
      <c r="E46" s="5" t="s">
        <v>13</v>
      </c>
      <c r="F46" s="14"/>
      <c r="G46" s="14"/>
      <c r="H46" s="14"/>
      <c r="I46" s="14" t="e">
        <f t="shared" si="0"/>
        <v>#DIV/0!</v>
      </c>
      <c r="J46" s="14" t="str">
        <f t="shared" si="2"/>
        <v>Invalid Calcuation</v>
      </c>
      <c r="K46" s="6"/>
      <c r="L46" s="12" t="str">
        <f t="shared" si="1"/>
        <v>Missing</v>
      </c>
    </row>
    <row r="47" spans="1:12">
      <c r="A47" s="4" t="s">
        <v>110</v>
      </c>
      <c r="B47" s="5" t="s">
        <v>111</v>
      </c>
      <c r="C47" s="5" t="s">
        <v>16</v>
      </c>
      <c r="D47" s="5">
        <v>55</v>
      </c>
      <c r="E47" s="5" t="s">
        <v>17</v>
      </c>
      <c r="F47" s="14"/>
      <c r="G47" s="14"/>
      <c r="H47" s="14"/>
      <c r="I47" s="14" t="e">
        <f t="shared" si="0"/>
        <v>#DIV/0!</v>
      </c>
      <c r="J47" s="14" t="str">
        <f t="shared" si="2"/>
        <v>Invalid Calcuation</v>
      </c>
      <c r="K47" s="6"/>
      <c r="L47" s="12" t="str">
        <f t="shared" si="1"/>
        <v>Missing</v>
      </c>
    </row>
    <row r="48" spans="1:12">
      <c r="A48" s="4" t="s">
        <v>112</v>
      </c>
      <c r="B48" s="5" t="s">
        <v>113</v>
      </c>
      <c r="C48" s="5" t="s">
        <v>12</v>
      </c>
      <c r="D48" s="5">
        <v>88</v>
      </c>
      <c r="E48" s="5" t="s">
        <v>13</v>
      </c>
      <c r="F48" s="14"/>
      <c r="G48" s="14"/>
      <c r="H48" s="14"/>
      <c r="I48" s="14" t="e">
        <f t="shared" si="0"/>
        <v>#DIV/0!</v>
      </c>
      <c r="J48" s="14" t="str">
        <f t="shared" si="2"/>
        <v>Invalid Calcuation</v>
      </c>
      <c r="K48" s="6">
        <v>91999999999</v>
      </c>
      <c r="L48" s="12" t="str">
        <f t="shared" si="1"/>
        <v>Available</v>
      </c>
    </row>
    <row r="49" spans="1:12">
      <c r="A49" s="7" t="s">
        <v>114</v>
      </c>
      <c r="B49" s="8" t="s">
        <v>115</v>
      </c>
      <c r="C49" s="10" t="s">
        <v>21</v>
      </c>
      <c r="D49" s="8">
        <v>62</v>
      </c>
      <c r="E49" s="8" t="s">
        <v>17</v>
      </c>
      <c r="F49" s="15"/>
      <c r="G49" s="15"/>
      <c r="H49" s="15"/>
      <c r="I49" s="14" t="e">
        <f t="shared" si="0"/>
        <v>#DIV/0!</v>
      </c>
      <c r="J49" s="14" t="str">
        <f t="shared" si="2"/>
        <v>Invalid Calcuation</v>
      </c>
      <c r="K49" s="9"/>
      <c r="L49" s="12" t="str">
        <f t="shared" si="1"/>
        <v>Missing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2026-09-21T13:04:36Z</dcterms:created>
  <dcterms:modified xsi:type="dcterms:W3CDTF">2026-09-21T14:05:04Z</dcterms:modified>
  <cp:category/>
  <cp:contentStatus/>
</cp:coreProperties>
</file>