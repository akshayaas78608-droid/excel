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shaya A s\Downloads\"/>
    </mc:Choice>
  </mc:AlternateContent>
  <xr:revisionPtr revIDLastSave="0" documentId="8_{5FD4B9E2-0C81-4098-8764-F9C6903A9F6D}" xr6:coauthVersionLast="47" xr6:coauthVersionMax="47" xr10:uidLastSave="{00000000-0000-0000-0000-000000000000}"/>
  <bookViews>
    <workbookView xWindow="-108" yWindow="-108" windowWidth="23256" windowHeight="12456" xr2:uid="{4E69E66A-26E0-4DC5-A967-995AEC6D37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3" i="1" l="1"/>
  <c r="H12" i="1"/>
  <c r="H6" i="1" a="1"/>
  <c r="J7" i="1"/>
  <c r="G2" i="1"/>
  <c r="C13" i="1"/>
  <c r="F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<sst xmlns="http://schemas.openxmlformats.org/spreadsheetml/2006/main" count="40" uniqueCount="32">
  <si>
    <t>Roll No</t>
  </si>
  <si>
    <t>Name</t>
  </si>
  <si>
    <t>Subject</t>
  </si>
  <si>
    <t>Marks</t>
  </si>
  <si>
    <t>Anu</t>
  </si>
  <si>
    <t>Maths</t>
  </si>
  <si>
    <t>Ravi</t>
  </si>
  <si>
    <t>Science</t>
  </si>
  <si>
    <t>Kiran</t>
  </si>
  <si>
    <t>Meera</t>
  </si>
  <si>
    <t>English</t>
  </si>
  <si>
    <t>Suresh</t>
  </si>
  <si>
    <t>Divya</t>
  </si>
  <si>
    <t>Rohit</t>
  </si>
  <si>
    <t>Neha</t>
  </si>
  <si>
    <t>Arjun</t>
  </si>
  <si>
    <t>Kavya</t>
  </si>
  <si>
    <t>Position of Divya</t>
  </si>
  <si>
    <t>Marks of Neha</t>
  </si>
  <si>
    <t>Value</t>
  </si>
  <si>
    <t>B2</t>
  </si>
  <si>
    <t>B3</t>
  </si>
  <si>
    <t>B4</t>
  </si>
  <si>
    <t>CellRef</t>
  </si>
  <si>
    <t>Item</t>
  </si>
  <si>
    <t>Price</t>
  </si>
  <si>
    <t>Pen</t>
  </si>
  <si>
    <t>Book</t>
  </si>
  <si>
    <t>Bag</t>
  </si>
  <si>
    <t>Ball</t>
  </si>
  <si>
    <t>Row No: of D5</t>
  </si>
  <si>
    <t>Column No: of 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</si>
</sst>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34384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/>
      <bottom/>
      <diagonal/>
    </border>
    <border>
      <left style="medium">
        <color rgb="FFF1F2F3"/>
      </left>
      <right style="medium">
        <color rgb="FF000000"/>
      </right>
      <top style="medium">
        <color rgb="FFF1F2F3"/>
      </top>
      <bottom style="medium">
        <color rgb="FF000000"/>
      </bottom>
      <diagonal/>
    </border>
    <border>
      <left style="medium">
        <color rgb="FF000000"/>
      </left>
      <right style="medium">
        <color rgb="FFF1F2F3"/>
      </right>
      <top style="medium">
        <color rgb="FFF1F2F3"/>
      </top>
      <bottom style="medium">
        <color rgb="FF000000"/>
      </bottom>
      <diagonal/>
    </border>
    <border>
      <left style="medium">
        <color rgb="FFF1F2F3"/>
      </left>
      <right style="medium">
        <color rgb="FFD6D6D6"/>
      </right>
      <top style="medium">
        <color rgb="FFD6D6D6"/>
      </top>
      <bottom style="medium">
        <color rgb="FFD6D6D6"/>
      </bottom>
      <diagonal/>
    </border>
    <border>
      <left style="medium">
        <color rgb="FFD6D6D6"/>
      </left>
      <right style="medium">
        <color rgb="FFF1F2F3"/>
      </right>
      <top style="medium">
        <color rgb="FFD6D6D6"/>
      </top>
      <bottom style="medium">
        <color rgb="FFD6D6D6"/>
      </bottom>
      <diagonal/>
    </border>
    <border>
      <left style="medium">
        <color rgb="FFF1F2F3"/>
      </left>
      <right style="medium">
        <color rgb="FFD6D6D6"/>
      </right>
      <top style="medium">
        <color rgb="FFD6D6D6"/>
      </top>
      <bottom style="medium">
        <color rgb="FFF1F2F3"/>
      </bottom>
      <diagonal/>
    </border>
    <border>
      <left style="medium">
        <color rgb="FFD6D6D6"/>
      </left>
      <right style="medium">
        <color rgb="FFF1F2F3"/>
      </right>
      <top style="medium">
        <color rgb="FFD6D6D6"/>
      </top>
      <bottom style="medium">
        <color rgb="FFF1F2F3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right" wrapText="1"/>
    </xf>
    <xf numFmtId="0" fontId="2" fillId="0" borderId="1" xfId="0" applyFont="1" applyBorder="1" applyAlignment="1">
      <alignment wrapText="1"/>
    </xf>
    <xf numFmtId="0" fontId="1" fillId="0" borderId="2" xfId="0" applyFont="1" applyFill="1" applyBorder="1" applyAlignment="1">
      <alignment horizontal="center" wrapText="1"/>
    </xf>
    <xf numFmtId="0" fontId="0" fillId="0" borderId="0" xfId="0" applyAlignment="1">
      <alignment vertical="center" wrapText="1"/>
    </xf>
    <xf numFmtId="0" fontId="3" fillId="2" borderId="3" xfId="0" applyFont="1" applyFill="1" applyBorder="1" applyAlignment="1">
      <alignment horizontal="center" vertical="top" wrapText="1"/>
    </xf>
    <xf numFmtId="0" fontId="3" fillId="2" borderId="4" xfId="0" applyFont="1" applyFill="1" applyBorder="1" applyAlignment="1">
      <alignment horizontal="center" vertical="top" wrapText="1"/>
    </xf>
    <xf numFmtId="0" fontId="3" fillId="2" borderId="5" xfId="0" applyFont="1" applyFill="1" applyBorder="1" applyAlignment="1">
      <alignment vertical="top" wrapText="1"/>
    </xf>
    <xf numFmtId="0" fontId="3" fillId="2" borderId="6" xfId="0" applyFont="1" applyFill="1" applyBorder="1" applyAlignment="1">
      <alignment vertical="top" wrapText="1"/>
    </xf>
    <xf numFmtId="0" fontId="3" fillId="2" borderId="7" xfId="0" applyFont="1" applyFill="1" applyBorder="1" applyAlignment="1">
      <alignment vertical="top" wrapText="1"/>
    </xf>
    <xf numFmtId="0" fontId="3" fillId="2" borderId="8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BE6D7-73DB-426B-84E2-7BD5DEC97E7A}">
  <dimension ref="A1:L13"/>
  <sheetViews>
    <sheetView tabSelected="1" workbookViewId="0">
      <selection activeCell="H14" sqref="H14"/>
    </sheetView>
  </sheetViews>
  <sheetFormatPr defaultRowHeight="14.4" x14ac:dyDescent="0.3"/>
  <sheetData>
    <row r="1" spans="1:12" ht="27.6" thickBot="1" x14ac:dyDescent="0.35">
      <c r="A1" s="1" t="s">
        <v>0</v>
      </c>
      <c r="B1" s="1" t="s">
        <v>1</v>
      </c>
      <c r="C1" s="1" t="s">
        <v>2</v>
      </c>
      <c r="D1" s="1" t="s">
        <v>3</v>
      </c>
      <c r="F1" s="4" t="s">
        <v>17</v>
      </c>
      <c r="G1" s="4" t="s">
        <v>18</v>
      </c>
      <c r="H1" s="5" t="s">
        <v>23</v>
      </c>
      <c r="I1" s="5" t="s">
        <v>19</v>
      </c>
      <c r="J1" s="6" t="s">
        <v>24</v>
      </c>
      <c r="K1" s="7" t="s">
        <v>25</v>
      </c>
    </row>
    <row r="2" spans="1:12" ht="15" thickBot="1" x14ac:dyDescent="0.35">
      <c r="A2" s="2">
        <v>201</v>
      </c>
      <c r="B2" s="3" t="s">
        <v>4</v>
      </c>
      <c r="C2" s="3" t="s">
        <v>5</v>
      </c>
      <c r="D2" s="2">
        <v>78</v>
      </c>
      <c r="F2">
        <f>MATCH("Divya",B2:B11,0)</f>
        <v>6</v>
      </c>
      <c r="G2">
        <f>INDEX(D2:D11,MATCH("Neha",B2:B11,0))</f>
        <v>73</v>
      </c>
      <c r="H2" s="5" t="s">
        <v>20</v>
      </c>
      <c r="I2" s="5">
        <v>500</v>
      </c>
      <c r="J2" s="8" t="s">
        <v>26</v>
      </c>
      <c r="K2" s="9">
        <v>10</v>
      </c>
    </row>
    <row r="3" spans="1:12" ht="15" thickBot="1" x14ac:dyDescent="0.35">
      <c r="A3" s="2">
        <v>202</v>
      </c>
      <c r="B3" s="3" t="s">
        <v>6</v>
      </c>
      <c r="C3" s="3" t="s">
        <v>7</v>
      </c>
      <c r="D3" s="2">
        <v>92</v>
      </c>
      <c r="H3" s="5" t="s">
        <v>21</v>
      </c>
      <c r="I3" s="5">
        <v>750</v>
      </c>
      <c r="J3" s="8" t="s">
        <v>27</v>
      </c>
      <c r="K3" s="9">
        <v>25</v>
      </c>
    </row>
    <row r="4" spans="1:12" ht="15" thickBot="1" x14ac:dyDescent="0.35">
      <c r="A4" s="2">
        <v>203</v>
      </c>
      <c r="B4" s="3" t="s">
        <v>8</v>
      </c>
      <c r="C4" s="3" t="s">
        <v>5</v>
      </c>
      <c r="D4" s="2">
        <v>35</v>
      </c>
      <c r="H4" s="5" t="s">
        <v>22</v>
      </c>
      <c r="I4" s="5">
        <v>900</v>
      </c>
      <c r="J4" s="8" t="s">
        <v>28</v>
      </c>
      <c r="K4" s="9">
        <v>55</v>
      </c>
    </row>
    <row r="5" spans="1:12" ht="15" thickBot="1" x14ac:dyDescent="0.35">
      <c r="A5" s="2">
        <v>204</v>
      </c>
      <c r="B5" s="3" t="s">
        <v>9</v>
      </c>
      <c r="C5" s="3" t="s">
        <v>10</v>
      </c>
      <c r="D5" s="2">
        <v>67</v>
      </c>
      <c r="F5" s="5"/>
      <c r="G5" s="5"/>
      <c r="J5" s="10" t="s">
        <v>29</v>
      </c>
      <c r="K5" s="11">
        <v>15</v>
      </c>
    </row>
    <row r="6" spans="1:12" ht="15" thickBot="1" x14ac:dyDescent="0.35">
      <c r="A6" s="2">
        <v>205</v>
      </c>
      <c r="B6" s="3" t="s">
        <v>11</v>
      </c>
      <c r="C6" s="3" t="s">
        <v>7</v>
      </c>
      <c r="D6" s="2">
        <v>40</v>
      </c>
      <c r="F6" s="5"/>
      <c r="G6" s="5"/>
      <c r="H6" t="str" cm="1">
        <f t="array" aca="1" ref="H6" ca="1">INDIRECT(H2)</f>
        <v>Anu</v>
      </c>
      <c r="J6" s="5"/>
      <c r="K6" s="5"/>
    </row>
    <row r="7" spans="1:12" ht="15" thickBot="1" x14ac:dyDescent="0.35">
      <c r="A7" s="2">
        <v>206</v>
      </c>
      <c r="B7" s="3" t="s">
        <v>12</v>
      </c>
      <c r="C7" s="3" t="s">
        <v>10</v>
      </c>
      <c r="D7" s="2">
        <v>88</v>
      </c>
      <c r="F7" s="5"/>
      <c r="G7" s="5"/>
      <c r="J7" s="5">
        <f ca="1">OFFSET(K1,2,0)</f>
        <v>25</v>
      </c>
      <c r="K7" s="5"/>
    </row>
    <row r="8" spans="1:12" ht="15" thickBot="1" x14ac:dyDescent="0.35">
      <c r="A8" s="2">
        <v>207</v>
      </c>
      <c r="B8" s="3" t="s">
        <v>13</v>
      </c>
      <c r="C8" s="3" t="s">
        <v>5</v>
      </c>
      <c r="D8" s="2">
        <v>56</v>
      </c>
      <c r="F8" s="5"/>
      <c r="G8" s="5"/>
      <c r="J8" s="5"/>
      <c r="K8" s="5"/>
    </row>
    <row r="9" spans="1:12" ht="15" thickBot="1" x14ac:dyDescent="0.35">
      <c r="A9" s="2">
        <v>208</v>
      </c>
      <c r="B9" s="3" t="s">
        <v>14</v>
      </c>
      <c r="C9" s="3" t="s">
        <v>7</v>
      </c>
      <c r="D9" s="2">
        <v>73</v>
      </c>
      <c r="J9" s="5"/>
      <c r="K9" s="5"/>
    </row>
    <row r="10" spans="1:12" ht="15" thickBot="1" x14ac:dyDescent="0.35">
      <c r="A10" s="2">
        <v>209</v>
      </c>
      <c r="B10" s="3" t="s">
        <v>15</v>
      </c>
      <c r="C10" s="3" t="s">
        <v>10</v>
      </c>
      <c r="D10" s="2">
        <v>29</v>
      </c>
      <c r="K10" s="5"/>
      <c r="L10" s="5"/>
    </row>
    <row r="11" spans="1:12" ht="15" thickBot="1" x14ac:dyDescent="0.35">
      <c r="A11" s="2">
        <v>210</v>
      </c>
      <c r="B11" s="3" t="s">
        <v>16</v>
      </c>
      <c r="C11" s="3" t="s">
        <v>5</v>
      </c>
      <c r="D11" s="2">
        <v>81</v>
      </c>
      <c r="K11" s="5"/>
      <c r="L11" s="5"/>
    </row>
    <row r="12" spans="1:12" x14ac:dyDescent="0.3">
      <c r="F12" t="s">
        <v>30</v>
      </c>
      <c r="H12">
        <f>ROW(D5)</f>
        <v>5</v>
      </c>
      <c r="K12" s="5"/>
      <c r="L12" s="5"/>
    </row>
    <row r="13" spans="1:12" x14ac:dyDescent="0.3">
      <c r="A13" t="s">
        <v>0</v>
      </c>
      <c r="B13">
        <v>290</v>
      </c>
      <c r="C13" t="str">
        <f>_xlfn.XLOOKUP(B13,A2:A11,D2:D11,"Invalid Rollnumber")</f>
        <v>Invalid Rollnumber</v>
      </c>
      <c r="F13" t="s">
        <v>31</v>
      </c>
      <c r="H13">
        <f>COLUMN(C3)</f>
        <v>3</v>
      </c>
      <c r="K13" s="5"/>
      <c r="L13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OFF14040 UserOFF</dc:creator>
  <cp:lastModifiedBy>OFF14040 UserOFF</cp:lastModifiedBy>
  <dcterms:created xsi:type="dcterms:W3CDTF">2026-10-11T16:09:03Z</dcterms:created>
  <dcterms:modified xsi:type="dcterms:W3CDTF">2026-10-11T16:34:48Z</dcterms:modified>
</cp:coreProperties>
</file>