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16"/>
  <workbookPr defaultThemeVersion="166925"/>
  <xr:revisionPtr revIDLastSave="0" documentId="8_{6FD4883D-08FD-4C47-9FDF-C79616DC8BEF}" xr6:coauthVersionLast="47" xr6:coauthVersionMax="47" xr10:uidLastSave="{00000000-0000-0000-0000-000000000000}"/>
  <bookViews>
    <workbookView xWindow="240" yWindow="105" windowWidth="14805" windowHeight="8010" firstSheet="14" activeTab="12" xr2:uid="{00000000-000D-0000-FFFF-FFFF00000000}"/>
  </bookViews>
  <sheets>
    <sheet name="Sheet1" sheetId="1" r:id="rId1"/>
    <sheet name="Sheet2" sheetId="2" r:id="rId2"/>
    <sheet name="Sheet14" sheetId="14" r:id="rId3"/>
    <sheet name="Sheet3" sheetId="3" r:id="rId4"/>
    <sheet name="Sheet4" sheetId="4" r:id="rId5"/>
    <sheet name="Sheet5" sheetId="5" r:id="rId6"/>
    <sheet name="Sheet7" sheetId="7" r:id="rId7"/>
    <sheet name="Sheet8" sheetId="8" r:id="rId8"/>
    <sheet name="Sheet6" sheetId="6" r:id="rId9"/>
    <sheet name="Sheet9" sheetId="9" r:id="rId10"/>
    <sheet name="Sheet10" sheetId="10" r:id="rId11"/>
    <sheet name="Sheet11" sheetId="11" r:id="rId12"/>
    <sheet name="Sheet12" sheetId="12" r:id="rId13"/>
    <sheet name="if condition practice" sheetId="13" r:id="rId14"/>
    <sheet name="Conditional Aggregation" sheetId="15" r:id="rId15"/>
    <sheet name="Conditional Aggregation Practic" sheetId="16" r:id="rId16"/>
    <sheet name="Practice" sheetId="17" r:id="rId17"/>
    <sheet name="Sheet13" sheetId="18" r:id="rId1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H3" i="12" l="1"/>
  <c r="H4" i="12"/>
  <c r="H5" i="12"/>
  <c r="H6" i="12"/>
  <c r="H7" i="12"/>
  <c r="H8" i="12"/>
  <c r="H9" i="12"/>
  <c r="H10" i="12"/>
  <c r="H11" i="12"/>
  <c r="H2" i="12"/>
  <c r="M31" i="17"/>
  <c r="M27" i="17"/>
  <c r="M12" i="17"/>
  <c r="M9" i="17"/>
  <c r="M23" i="17"/>
  <c r="M18" i="17"/>
  <c r="G42" i="15"/>
  <c r="G38" i="15"/>
  <c r="D40" i="15"/>
  <c r="D39" i="15"/>
  <c r="D38" i="15"/>
  <c r="Q14" i="16"/>
  <c r="Q10" i="16"/>
  <c r="N12" i="16"/>
  <c r="N9" i="16"/>
  <c r="G26" i="15"/>
  <c r="G20" i="15"/>
  <c r="G7" i="15"/>
  <c r="G4" i="15"/>
  <c r="D5" i="15"/>
  <c r="D4" i="15"/>
  <c r="D3" i="15"/>
  <c r="G2" i="12"/>
  <c r="G3" i="12"/>
  <c r="G4" i="12"/>
  <c r="G5" i="12"/>
  <c r="G6" i="12"/>
  <c r="G7" i="12"/>
  <c r="G8" i="12"/>
  <c r="G9" i="12"/>
  <c r="G10" i="12"/>
  <c r="G11" i="12"/>
  <c r="F3" i="12"/>
  <c r="F4" i="12"/>
  <c r="F5" i="12"/>
  <c r="F6" i="12"/>
  <c r="F7" i="12"/>
  <c r="F8" i="12"/>
  <c r="F9" i="12"/>
  <c r="F10" i="12"/>
  <c r="F11" i="12"/>
  <c r="F2" i="12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2" i="3"/>
  <c r="J2" i="5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2" i="3"/>
  <c r="D3" i="11"/>
  <c r="D4" i="11"/>
  <c r="D2" i="11"/>
  <c r="D1" i="11"/>
  <c r="C3" i="10"/>
  <c r="C4" i="10"/>
  <c r="C2" i="10"/>
  <c r="D3" i="6"/>
  <c r="D4" i="6"/>
  <c r="D2" i="6"/>
  <c r="F8" i="7"/>
  <c r="L3" i="13"/>
  <c r="L4" i="13"/>
  <c r="L5" i="13"/>
  <c r="L6" i="13"/>
  <c r="L7" i="13"/>
  <c r="L8" i="13"/>
  <c r="L9" i="13"/>
  <c r="L10" i="13"/>
  <c r="L11" i="13"/>
  <c r="L12" i="13"/>
  <c r="L13" i="13"/>
  <c r="L14" i="13"/>
  <c r="L15" i="13"/>
  <c r="L16" i="13"/>
  <c r="L2" i="13"/>
  <c r="K3" i="13"/>
  <c r="K4" i="13"/>
  <c r="K5" i="13"/>
  <c r="K6" i="13"/>
  <c r="K7" i="13"/>
  <c r="K8" i="13"/>
  <c r="K9" i="13"/>
  <c r="K10" i="13"/>
  <c r="K11" i="13"/>
  <c r="K12" i="13"/>
  <c r="K13" i="13"/>
  <c r="K14" i="13"/>
  <c r="K15" i="13"/>
  <c r="K16" i="13"/>
  <c r="K2" i="13"/>
  <c r="J3" i="13" a="1"/>
  <c r="J3" i="13"/>
  <c r="J4" i="13" a="1"/>
  <c r="J4" i="13"/>
  <c r="J5" i="13" a="1"/>
  <c r="J5" i="13"/>
  <c r="J6" i="13" a="1"/>
  <c r="J6" i="13"/>
  <c r="J7" i="13" a="1"/>
  <c r="J7" i="13"/>
  <c r="J8" i="13" a="1"/>
  <c r="J8" i="13"/>
  <c r="J9" i="13" a="1"/>
  <c r="J9" i="13"/>
  <c r="J10" i="13" a="1"/>
  <c r="J10" i="13"/>
  <c r="J11" i="13" a="1"/>
  <c r="J11" i="13"/>
  <c r="J12" i="13" a="1"/>
  <c r="J12" i="13"/>
  <c r="J13" i="13" a="1"/>
  <c r="J13" i="13"/>
  <c r="J14" i="13" a="1"/>
  <c r="J14" i="13"/>
  <c r="J15" i="13" a="1"/>
  <c r="J15" i="13"/>
  <c r="J16" i="13" a="1"/>
  <c r="J16" i="13"/>
  <c r="J2" i="13" a="1"/>
  <c r="J2" i="13"/>
  <c r="I16" i="3"/>
  <c r="I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" i="3"/>
  <c r="L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2" i="5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2" i="5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E3" i="4" a="1"/>
  <c r="E3" i="4"/>
  <c r="E4" i="4" a="1"/>
  <c r="E4" i="4"/>
  <c r="E5" i="4" a="1"/>
  <c r="E5" i="4"/>
  <c r="E6" i="4" a="1"/>
  <c r="E6" i="4"/>
  <c r="E7" i="4" a="1"/>
  <c r="E7" i="4"/>
  <c r="E8" i="4" a="1"/>
  <c r="E8" i="4"/>
  <c r="E9" i="4" a="1"/>
  <c r="E9" i="4"/>
  <c r="E10" i="4" a="1"/>
  <c r="E10" i="4"/>
  <c r="E11" i="4" a="1"/>
  <c r="E11" i="4"/>
  <c r="E2" i="4" a="1"/>
  <c r="E2" i="4"/>
  <c r="D2" i="4" a="1"/>
  <c r="D2" i="4"/>
  <c r="D5" i="4"/>
  <c r="D6" i="4"/>
  <c r="D7" i="4"/>
  <c r="D8" i="4"/>
  <c r="D9" i="4"/>
  <c r="D10" i="4"/>
  <c r="D11" i="4"/>
  <c r="D4" i="4"/>
  <c r="D3" i="4" a="1"/>
  <c r="D3" i="4"/>
  <c r="C3" i="4"/>
  <c r="C4" i="4"/>
  <c r="C5" i="4"/>
  <c r="C6" i="4"/>
  <c r="C7" i="4"/>
  <c r="C8" i="4"/>
  <c r="C9" i="4"/>
  <c r="C10" i="4"/>
  <c r="C11" i="4"/>
  <c r="C2" i="4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2" i="2"/>
  <c r="D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<sst xmlns="http://schemas.openxmlformats.org/spreadsheetml/2006/main" count="998" uniqueCount="337">
  <si>
    <t>John Doe</t>
  </si>
  <si>
    <t>This is a sample sentence.</t>
  </si>
  <si>
    <t>Jane Smith</t>
  </si>
  <si>
    <t>Data cleaning is important.</t>
  </si>
  <si>
    <t>Robert Brown</t>
  </si>
  <si>
    <t>Excel helps remove extra spaces.</t>
  </si>
  <si>
    <t>Anna Lee</t>
  </si>
  <si>
    <t>TRIM makes text neat.</t>
  </si>
  <si>
    <t>Michael</t>
  </si>
  <si>
    <t>Extra spaces cause errors.</t>
  </si>
  <si>
    <t>ID</t>
  </si>
  <si>
    <t>Name</t>
  </si>
  <si>
    <t>Email</t>
  </si>
  <si>
    <t>Phone</t>
  </si>
  <si>
    <t>Department</t>
  </si>
  <si>
    <t>Join Date</t>
  </si>
  <si>
    <t>Employee Code</t>
  </si>
  <si>
    <t>Code</t>
  </si>
  <si>
    <t>Username</t>
  </si>
  <si>
    <t>Arun Kumar</t>
  </si>
  <si>
    <t>arun.kumar@gmail.com</t>
  </si>
  <si>
    <t>9876543210</t>
  </si>
  <si>
    <t>SOFTWARE</t>
  </si>
  <si>
    <t>SW-24-001</t>
  </si>
  <si>
    <t>001</t>
  </si>
  <si>
    <t>arun.kumar</t>
  </si>
  <si>
    <t>Priya Nair</t>
  </si>
  <si>
    <t>priya.nair@gmail.com</t>
  </si>
  <si>
    <t>9123456780</t>
  </si>
  <si>
    <t>FINANCE</t>
  </si>
  <si>
    <t>25/01/2024</t>
  </si>
  <si>
    <t>FN-24-002</t>
  </si>
  <si>
    <t>002</t>
  </si>
  <si>
    <t>priya.nair</t>
  </si>
  <si>
    <t>Rahul Menon</t>
  </si>
  <si>
    <t>rahul.menon@gmail.com</t>
  </si>
  <si>
    <t>8899776655</t>
  </si>
  <si>
    <t>HR</t>
  </si>
  <si>
    <t>HR-24-003</t>
  </si>
  <si>
    <t>003</t>
  </si>
  <si>
    <t>rahul.menon</t>
  </si>
  <si>
    <t>Neha Thomas</t>
  </si>
  <si>
    <t>neha.thomas@gmail.com</t>
  </si>
  <si>
    <t>7999887766</t>
  </si>
  <si>
    <t>MARKETING</t>
  </si>
  <si>
    <t>18/02/2024</t>
  </si>
  <si>
    <t>MK-24-004</t>
  </si>
  <si>
    <t>004</t>
  </si>
  <si>
    <t>neha.thomas</t>
  </si>
  <si>
    <t>Vishnu Raj</t>
  </si>
  <si>
    <t>vishnu.raj@gmail.com</t>
  </si>
  <si>
    <t>7666554433</t>
  </si>
  <si>
    <t>IT SUPPORT</t>
  </si>
  <si>
    <t>IT-24-005</t>
  </si>
  <si>
    <t>005</t>
  </si>
  <si>
    <t>vishnu.raj</t>
  </si>
  <si>
    <t>Anjali Das</t>
  </si>
  <si>
    <t>anjali.das@gmail.com</t>
  </si>
  <si>
    <t>9555443322</t>
  </si>
  <si>
    <t>SALES</t>
  </si>
  <si>
    <t>15/03/2024</t>
  </si>
  <si>
    <t>SL-24-006</t>
  </si>
  <si>
    <t>006</t>
  </si>
  <si>
    <t>anjali.das</t>
  </si>
  <si>
    <t>Suresh Babu</t>
  </si>
  <si>
    <t>suresh.babu@gmail.com</t>
  </si>
  <si>
    <t>9444332211</t>
  </si>
  <si>
    <t>28/03/2024</t>
  </si>
  <si>
    <t>SW-24-007</t>
  </si>
  <si>
    <t>007</t>
  </si>
  <si>
    <t>suresh.babu</t>
  </si>
  <si>
    <t>Meera Jose</t>
  </si>
  <si>
    <t>meera.jose@gmail.com</t>
  </si>
  <si>
    <t>9888776655</t>
  </si>
  <si>
    <t>FN-24-008</t>
  </si>
  <si>
    <t>008</t>
  </si>
  <si>
    <t>meera.jose</t>
  </si>
  <si>
    <t>Amal Dev</t>
  </si>
  <si>
    <t>amal.dev@gmail.com</t>
  </si>
  <si>
    <t>8777665544</t>
  </si>
  <si>
    <t>22/04/2024</t>
  </si>
  <si>
    <t>HR-24-009</t>
  </si>
  <si>
    <t>009</t>
  </si>
  <si>
    <t>amal.dev</t>
  </si>
  <si>
    <t>Fathima Ali</t>
  </si>
  <si>
    <t>fathima.ali@gmail.com</t>
  </si>
  <si>
    <t>8111222333</t>
  </si>
  <si>
    <t>MK-24-010</t>
  </si>
  <si>
    <t>010</t>
  </si>
  <si>
    <t>fathima.ali</t>
  </si>
  <si>
    <t>Roshan Kumar</t>
  </si>
  <si>
    <t>roshan.kumar@gmail.com</t>
  </si>
  <si>
    <t>9000112233</t>
  </si>
  <si>
    <t>18/05/2024</t>
  </si>
  <si>
    <t>SW-24-011</t>
  </si>
  <si>
    <t>011</t>
  </si>
  <si>
    <t>roshan.kumar</t>
  </si>
  <si>
    <t>Sneha Nair</t>
  </si>
  <si>
    <t>sneha.nair@gmail.com</t>
  </si>
  <si>
    <t>8888776655</t>
  </si>
  <si>
    <t>30/05/2024</t>
  </si>
  <si>
    <t>FN-24-012</t>
  </si>
  <si>
    <t>012</t>
  </si>
  <si>
    <t>sneha.nair</t>
  </si>
  <si>
    <t>Akhil Raj</t>
  </si>
  <si>
    <t>akhil.raj@gmail.com</t>
  </si>
  <si>
    <t>7777665544</t>
  </si>
  <si>
    <t>IT-24-013</t>
  </si>
  <si>
    <t>013</t>
  </si>
  <si>
    <t>akhil.raj</t>
  </si>
  <si>
    <t>Divya Menon</t>
  </si>
  <si>
    <t>divya.menon@gmail.com</t>
  </si>
  <si>
    <t>9666554433</t>
  </si>
  <si>
    <t>25/06/2024</t>
  </si>
  <si>
    <t>SL-24-014</t>
  </si>
  <si>
    <t>014</t>
  </si>
  <si>
    <t>divya.menon</t>
  </si>
  <si>
    <t>Naveen Jose</t>
  </si>
  <si>
    <t>naveen.jose@gmail.com</t>
  </si>
  <si>
    <t>8555443322</t>
  </si>
  <si>
    <t>SW-24-015</t>
  </si>
  <si>
    <t>015</t>
  </si>
  <si>
    <t>naveen.jose</t>
  </si>
  <si>
    <t>Thursday,May 02,2024</t>
  </si>
  <si>
    <t>Wednesday,January 03,2024</t>
  </si>
  <si>
    <t>Friday,October 04,2024</t>
  </si>
  <si>
    <t>Sunday,May 05,2024</t>
  </si>
  <si>
    <t>Friday,December 06,2024</t>
  </si>
  <si>
    <t>Wednesday,August 07,2024</t>
  </si>
  <si>
    <t>Student</t>
  </si>
  <si>
    <t>Marks</t>
  </si>
  <si>
    <t>Result</t>
  </si>
  <si>
    <t>John</t>
  </si>
  <si>
    <t>Meera</t>
  </si>
  <si>
    <t>Akhil</t>
  </si>
  <si>
    <t>Rose</t>
  </si>
  <si>
    <t>Riya</t>
  </si>
  <si>
    <t>Arjun</t>
  </si>
  <si>
    <t>Neha</t>
  </si>
  <si>
    <t>Kiran</t>
  </si>
  <si>
    <t>Anand</t>
  </si>
  <si>
    <t>Divya</t>
  </si>
  <si>
    <t>Student_ID</t>
  </si>
  <si>
    <t>Age</t>
  </si>
  <si>
    <t>Math</t>
  </si>
  <si>
    <t>Science</t>
  </si>
  <si>
    <t>English</t>
  </si>
  <si>
    <t>Attendance</t>
  </si>
  <si>
    <t>Assignment</t>
  </si>
  <si>
    <t>Fees_Paid</t>
  </si>
  <si>
    <t>S001</t>
  </si>
  <si>
    <t>Arun</t>
  </si>
  <si>
    <t>Yes</t>
  </si>
  <si>
    <t>S002</t>
  </si>
  <si>
    <t>Priya</t>
  </si>
  <si>
    <t>S003</t>
  </si>
  <si>
    <t>Rahul</t>
  </si>
  <si>
    <t>No</t>
  </si>
  <si>
    <t>S004</t>
  </si>
  <si>
    <t>S005</t>
  </si>
  <si>
    <t>Vishnu</t>
  </si>
  <si>
    <t>S006</t>
  </si>
  <si>
    <t>Anjali</t>
  </si>
  <si>
    <t>S007</t>
  </si>
  <si>
    <t>Suresh</t>
  </si>
  <si>
    <t>S008</t>
  </si>
  <si>
    <t>S009</t>
  </si>
  <si>
    <t>Amal</t>
  </si>
  <si>
    <t>S010</t>
  </si>
  <si>
    <t>Fathima</t>
  </si>
  <si>
    <t>S011</t>
  </si>
  <si>
    <t>Roshan</t>
  </si>
  <si>
    <t>S012</t>
  </si>
  <si>
    <t>Sneha</t>
  </si>
  <si>
    <t>S013</t>
  </si>
  <si>
    <t>S014</t>
  </si>
  <si>
    <t>S015</t>
  </si>
  <si>
    <t>Naveen</t>
  </si>
  <si>
    <t>Phone Number</t>
  </si>
  <si>
    <t>Anu</t>
  </si>
  <si>
    <t>Ravi</t>
  </si>
  <si>
    <t>Lekha</t>
  </si>
  <si>
    <t>Full Name</t>
  </si>
  <si>
    <t>Full</t>
  </si>
  <si>
    <t>Meera Sharma</t>
  </si>
  <si>
    <t>Akhil Kumar</t>
  </si>
  <si>
    <t>Rose Mary</t>
  </si>
  <si>
    <t>Day</t>
  </si>
  <si>
    <t>Sales</t>
  </si>
  <si>
    <t>Orders</t>
  </si>
  <si>
    <t>Mon</t>
  </si>
  <si>
    <t>Tue</t>
  </si>
  <si>
    <t>Wed</t>
  </si>
  <si>
    <t xml:space="preserve">John </t>
  </si>
  <si>
    <t>First Name</t>
  </si>
  <si>
    <t>Last Name</t>
  </si>
  <si>
    <t>Doe</t>
  </si>
  <si>
    <t>Sharma</t>
  </si>
  <si>
    <t>Kumar</t>
  </si>
  <si>
    <t>City</t>
  </si>
  <si>
    <t>Country</t>
  </si>
  <si>
    <t>Chennai</t>
  </si>
  <si>
    <t>India</t>
  </si>
  <si>
    <t>Bengaluru</t>
  </si>
  <si>
    <t>Ticket_ID</t>
  </si>
  <si>
    <t>Customer</t>
  </si>
  <si>
    <t>Issue</t>
  </si>
  <si>
    <t>Description</t>
  </si>
  <si>
    <t>T001</t>
  </si>
  <si>
    <t>arun@gmail.com</t>
  </si>
  <si>
    <t>Login Failed</t>
  </si>
  <si>
    <t>Customer cannot login to the application</t>
  </si>
  <si>
    <t>T002</t>
  </si>
  <si>
    <t>priya@yahoo.com</t>
  </si>
  <si>
    <t>Payment Error</t>
  </si>
  <si>
    <t>Payment failed while purchasing the course</t>
  </si>
  <si>
    <t>T003</t>
  </si>
  <si>
    <t>rahul@gmail.com</t>
  </si>
  <si>
    <t>Password Reset</t>
  </si>
  <si>
    <t>Customer forgot the password and needs a reset</t>
  </si>
  <si>
    <t>T004</t>
  </si>
  <si>
    <t>neha@outlook.com</t>
  </si>
  <si>
    <t>Login Issue</t>
  </si>
  <si>
    <t>Unable to login after changing the password</t>
  </si>
  <si>
    <t>T005</t>
  </si>
  <si>
    <t>vishnu@gmail.com</t>
  </si>
  <si>
    <t>Refund Request</t>
  </si>
  <si>
    <t>Customer wants a refund for the cancelled order</t>
  </si>
  <si>
    <t>T006</t>
  </si>
  <si>
    <t>anjali@yahoo.com</t>
  </si>
  <si>
    <t>Payment Failed</t>
  </si>
  <si>
    <t>Payment was declined by the bank</t>
  </si>
  <si>
    <t>T007</t>
  </si>
  <si>
    <t>suresh@gmail.com</t>
  </si>
  <si>
    <t>Account Locked</t>
  </si>
  <si>
    <t>Account was locked after multiple login attempts</t>
  </si>
  <si>
    <t>T008</t>
  </si>
  <si>
    <t>meera@outlook.com</t>
  </si>
  <si>
    <t>Customer receives an error during login</t>
  </si>
  <si>
    <t>T009</t>
  </si>
  <si>
    <t>amal@gmail.com</t>
  </si>
  <si>
    <t>Delivery Delay</t>
  </si>
  <si>
    <t>Order delivery is delayed by five days</t>
  </si>
  <si>
    <t>T010</t>
  </si>
  <si>
    <t>fathima@yahoo.com</t>
  </si>
  <si>
    <t>Customer cannot remember the old password</t>
  </si>
  <si>
    <t>Criteria</t>
  </si>
  <si>
    <t>&gt;75</t>
  </si>
  <si>
    <t xml:space="preserve">Total </t>
  </si>
  <si>
    <t xml:space="preserve">Criteria </t>
  </si>
  <si>
    <t>&gt;70</t>
  </si>
  <si>
    <t>Sum</t>
  </si>
  <si>
    <t>Group</t>
  </si>
  <si>
    <t>A</t>
  </si>
  <si>
    <t>B</t>
  </si>
  <si>
    <t>&gt;40</t>
  </si>
  <si>
    <t>Count</t>
  </si>
  <si>
    <t xml:space="preserve">Sum </t>
  </si>
  <si>
    <t>Order_ID</t>
  </si>
  <si>
    <t>Date</t>
  </si>
  <si>
    <t>Salesperson</t>
  </si>
  <si>
    <t>Region</t>
  </si>
  <si>
    <t>Product</t>
  </si>
  <si>
    <t>Category</t>
  </si>
  <si>
    <t>Quantity</t>
  </si>
  <si>
    <t>Unit_Price</t>
  </si>
  <si>
    <t>Total_Sales</t>
  </si>
  <si>
    <t>Payment_Status</t>
  </si>
  <si>
    <t>O001</t>
  </si>
  <si>
    <t>North</t>
  </si>
  <si>
    <t>Laptop</t>
  </si>
  <si>
    <t>Electronics</t>
  </si>
  <si>
    <t>Paid</t>
  </si>
  <si>
    <t>O002</t>
  </si>
  <si>
    <t>South</t>
  </si>
  <si>
    <t>Keyboard</t>
  </si>
  <si>
    <t>Accessories</t>
  </si>
  <si>
    <t>O003</t>
  </si>
  <si>
    <t>East</t>
  </si>
  <si>
    <t>Monitor</t>
  </si>
  <si>
    <t>Pending</t>
  </si>
  <si>
    <t>O004</t>
  </si>
  <si>
    <t>18/01/2025</t>
  </si>
  <si>
    <t>West</t>
  </si>
  <si>
    <t>Mouse</t>
  </si>
  <si>
    <t>O005</t>
  </si>
  <si>
    <t>25/01/2025</t>
  </si>
  <si>
    <t>O006</t>
  </si>
  <si>
    <t>Printer</t>
  </si>
  <si>
    <t>Office</t>
  </si>
  <si>
    <t>O007</t>
  </si>
  <si>
    <t>Payment</t>
  </si>
  <si>
    <t>pending</t>
  </si>
  <si>
    <t>O008</t>
  </si>
  <si>
    <t>16/02/2025</t>
  </si>
  <si>
    <t>O009</t>
  </si>
  <si>
    <t>22/02/2025</t>
  </si>
  <si>
    <t>O010</t>
  </si>
  <si>
    <t>28/02/2025</t>
  </si>
  <si>
    <t>Sales Person</t>
  </si>
  <si>
    <t>O011</t>
  </si>
  <si>
    <t>Total Sale</t>
  </si>
  <si>
    <t>O012</t>
  </si>
  <si>
    <t>O013</t>
  </si>
  <si>
    <t>18/03/2025</t>
  </si>
  <si>
    <t>O014</t>
  </si>
  <si>
    <t>25/03/2025</t>
  </si>
  <si>
    <t>O015</t>
  </si>
  <si>
    <t>O016</t>
  </si>
  <si>
    <t>O017</t>
  </si>
  <si>
    <t>15/04/2025</t>
  </si>
  <si>
    <t>O018</t>
  </si>
  <si>
    <t>21/04/2025</t>
  </si>
  <si>
    <t>O019</t>
  </si>
  <si>
    <t>28/04/2025</t>
  </si>
  <si>
    <t>O020</t>
  </si>
  <si>
    <t>O021</t>
  </si>
  <si>
    <t>O022</t>
  </si>
  <si>
    <t>19/05/2025</t>
  </si>
  <si>
    <t>O023</t>
  </si>
  <si>
    <t>26/05/2025</t>
  </si>
  <si>
    <t>O024</t>
  </si>
  <si>
    <t>O025</t>
  </si>
  <si>
    <t>O026</t>
  </si>
  <si>
    <t>16/06/2025</t>
  </si>
  <si>
    <t>O027</t>
  </si>
  <si>
    <t>23/06/2025</t>
  </si>
  <si>
    <t>O028</t>
  </si>
  <si>
    <t>30/06/2025</t>
  </si>
  <si>
    <t>O029</t>
  </si>
  <si>
    <t>O030</t>
  </si>
  <si>
    <t>14/07/2025</t>
  </si>
  <si>
    <t>count</t>
  </si>
  <si>
    <t>Person</t>
  </si>
  <si>
    <t>Total Sales</t>
  </si>
  <si>
    <t>Unit price</t>
  </si>
  <si>
    <t>Unit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</si>
</sst>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naveen.jos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workbookViewId="0"/>
  </sheetViews>
  <sheetFormatPr defaultRowHeight="15"/>
  <cols>
    <col min="1" max="1" width="18.7109375" customWidth="1"/>
    <col min="2" max="2" width="36.42578125" customWidth="1"/>
    <col min="3" max="3" width="11.7109375" customWidth="1"/>
    <col min="4" max="4" width="13" customWidth="1"/>
  </cols>
  <sheetData>
    <row r="1" spans="1:4">
      <c r="C1">
        <v>9876543210</v>
      </c>
      <c r="D1" t="str">
        <f>REPLACE(C1,1,5,"******")</f>
        <v>******43210</v>
      </c>
    </row>
    <row r="2" spans="1:4">
      <c r="A2" t="s">
        <v>0</v>
      </c>
      <c r="B2" t="s">
        <v>1</v>
      </c>
    </row>
    <row r="3" spans="1:4">
      <c r="A3" t="s">
        <v>2</v>
      </c>
      <c r="B3" t="s">
        <v>3</v>
      </c>
    </row>
    <row r="4" spans="1:4">
      <c r="A4" t="s">
        <v>4</v>
      </c>
      <c r="B4" t="s">
        <v>5</v>
      </c>
    </row>
    <row r="5" spans="1:4">
      <c r="A5" t="s">
        <v>6</v>
      </c>
      <c r="B5" t="s">
        <v>7</v>
      </c>
    </row>
    <row r="6" spans="1:4">
      <c r="A6" t="s">
        <v>8</v>
      </c>
      <c r="B6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F0C72-8503-4EB3-B5A4-1F00455C0D0F}">
  <dimension ref="A1:J16"/>
  <sheetViews>
    <sheetView workbookViewId="0">
      <selection activeCell="J1" sqref="J1"/>
    </sheetView>
  </sheetViews>
  <sheetFormatPr defaultRowHeight="15"/>
  <cols>
    <col min="1" max="1" width="5.42578125" bestFit="1" customWidth="1"/>
    <col min="2" max="2" width="15" customWidth="1"/>
    <col min="3" max="3" width="33.42578125" customWidth="1"/>
    <col min="4" max="4" width="12.7109375" customWidth="1"/>
    <col min="5" max="5" width="18.28515625" customWidth="1"/>
    <col min="6" max="6" width="21.42578125" customWidth="1"/>
    <col min="7" max="7" width="17" customWidth="1"/>
    <col min="9" max="9" width="16.140625" customWidth="1"/>
    <col min="10" max="10" width="14.7109375" customWidth="1"/>
  </cols>
  <sheetData>
    <row r="1" spans="1:10">
      <c r="A1" t="s">
        <v>10</v>
      </c>
      <c r="B1" t="s">
        <v>11</v>
      </c>
      <c r="C1" t="s">
        <v>12</v>
      </c>
      <c r="D1" t="s">
        <v>13</v>
      </c>
      <c r="E1" t="s">
        <v>14</v>
      </c>
      <c r="F1" s="1" t="s">
        <v>15</v>
      </c>
      <c r="G1" t="s">
        <v>16</v>
      </c>
      <c r="H1" t="s">
        <v>17</v>
      </c>
      <c r="I1" t="s">
        <v>18</v>
      </c>
    </row>
    <row r="2" spans="1:10">
      <c r="A2">
        <v>1001</v>
      </c>
      <c r="B2" t="s">
        <v>19</v>
      </c>
      <c r="C2" t="s">
        <v>20</v>
      </c>
      <c r="D2" t="s">
        <v>21</v>
      </c>
      <c r="E2" t="s">
        <v>22</v>
      </c>
      <c r="F2" s="1">
        <v>45627</v>
      </c>
      <c r="G2" t="s">
        <v>23</v>
      </c>
      <c r="H2" t="s">
        <v>24</v>
      </c>
      <c r="I2" t="s">
        <v>25</v>
      </c>
      <c r="J2" t="str">
        <f>LEFT(C2,FIND("@",C2)-1)</f>
        <v>arun.kumar</v>
      </c>
    </row>
    <row r="3" spans="1:10">
      <c r="A3">
        <v>1002</v>
      </c>
      <c r="B3" t="s">
        <v>26</v>
      </c>
      <c r="C3" t="s">
        <v>27</v>
      </c>
      <c r="D3" t="s">
        <v>28</v>
      </c>
      <c r="E3" t="s">
        <v>29</v>
      </c>
      <c r="F3" s="1" t="s">
        <v>30</v>
      </c>
      <c r="G3" t="s">
        <v>31</v>
      </c>
      <c r="H3" t="s">
        <v>32</v>
      </c>
      <c r="I3" t="s">
        <v>33</v>
      </c>
      <c r="J3" t="str">
        <f t="shared" ref="J3:J16" si="0">LEFT(C3,FIND("@",C3)-1)</f>
        <v>priya.nair</v>
      </c>
    </row>
    <row r="4" spans="1:10">
      <c r="A4">
        <v>1003</v>
      </c>
      <c r="B4" t="s">
        <v>34</v>
      </c>
      <c r="C4" t="s">
        <v>35</v>
      </c>
      <c r="D4" t="s">
        <v>36</v>
      </c>
      <c r="E4" t="s">
        <v>37</v>
      </c>
      <c r="F4" s="1">
        <v>45414</v>
      </c>
      <c r="G4" t="s">
        <v>38</v>
      </c>
      <c r="H4" t="s">
        <v>39</v>
      </c>
      <c r="I4" t="s">
        <v>40</v>
      </c>
      <c r="J4" t="str">
        <f t="shared" si="0"/>
        <v>rahul.menon</v>
      </c>
    </row>
    <row r="5" spans="1:10">
      <c r="A5">
        <v>1004</v>
      </c>
      <c r="B5" t="s">
        <v>41</v>
      </c>
      <c r="C5" t="s">
        <v>42</v>
      </c>
      <c r="D5" t="s">
        <v>43</v>
      </c>
      <c r="E5" t="s">
        <v>44</v>
      </c>
      <c r="F5" s="1" t="s">
        <v>45</v>
      </c>
      <c r="G5" t="s">
        <v>46</v>
      </c>
      <c r="H5" t="s">
        <v>47</v>
      </c>
      <c r="I5" t="s">
        <v>48</v>
      </c>
      <c r="J5" t="str">
        <f t="shared" si="0"/>
        <v>neha.thomas</v>
      </c>
    </row>
    <row r="6" spans="1:10">
      <c r="A6">
        <v>1005</v>
      </c>
      <c r="B6" t="s">
        <v>49</v>
      </c>
      <c r="C6" t="s">
        <v>50</v>
      </c>
      <c r="D6" t="s">
        <v>51</v>
      </c>
      <c r="E6" t="s">
        <v>52</v>
      </c>
      <c r="F6" s="1">
        <v>45294</v>
      </c>
      <c r="G6" t="s">
        <v>53</v>
      </c>
      <c r="H6" t="s">
        <v>54</v>
      </c>
      <c r="I6" t="s">
        <v>55</v>
      </c>
      <c r="J6" t="str">
        <f t="shared" si="0"/>
        <v>vishnu.raj</v>
      </c>
    </row>
    <row r="7" spans="1:10">
      <c r="A7">
        <v>1006</v>
      </c>
      <c r="B7" t="s">
        <v>56</v>
      </c>
      <c r="C7" t="s">
        <v>57</v>
      </c>
      <c r="D7" t="s">
        <v>58</v>
      </c>
      <c r="E7" t="s">
        <v>59</v>
      </c>
      <c r="F7" s="1" t="s">
        <v>60</v>
      </c>
      <c r="G7" t="s">
        <v>61</v>
      </c>
      <c r="H7" t="s">
        <v>62</v>
      </c>
      <c r="I7" t="s">
        <v>63</v>
      </c>
      <c r="J7" t="str">
        <f t="shared" si="0"/>
        <v>anjali.das</v>
      </c>
    </row>
    <row r="8" spans="1:10">
      <c r="A8">
        <v>1007</v>
      </c>
      <c r="B8" t="s">
        <v>64</v>
      </c>
      <c r="C8" t="s">
        <v>65</v>
      </c>
      <c r="D8" t="s">
        <v>66</v>
      </c>
      <c r="E8" t="s">
        <v>22</v>
      </c>
      <c r="F8" s="1" t="s">
        <v>67</v>
      </c>
      <c r="G8" t="s">
        <v>68</v>
      </c>
      <c r="H8" t="s">
        <v>69</v>
      </c>
      <c r="I8" t="s">
        <v>70</v>
      </c>
      <c r="J8" t="str">
        <f t="shared" si="0"/>
        <v>suresh.babu</v>
      </c>
    </row>
    <row r="9" spans="1:10">
      <c r="A9">
        <v>1008</v>
      </c>
      <c r="B9" t="s">
        <v>71</v>
      </c>
      <c r="C9" t="s">
        <v>72</v>
      </c>
      <c r="D9" t="s">
        <v>73</v>
      </c>
      <c r="E9" t="s">
        <v>29</v>
      </c>
      <c r="F9" s="1">
        <v>45569</v>
      </c>
      <c r="G9" t="s">
        <v>74</v>
      </c>
      <c r="H9" t="s">
        <v>75</v>
      </c>
      <c r="I9" t="s">
        <v>76</v>
      </c>
      <c r="J9" t="str">
        <f t="shared" si="0"/>
        <v>meera.jose</v>
      </c>
    </row>
    <row r="10" spans="1:10">
      <c r="A10">
        <v>1009</v>
      </c>
      <c r="B10" t="s">
        <v>77</v>
      </c>
      <c r="C10" t="s">
        <v>78</v>
      </c>
      <c r="D10" t="s">
        <v>79</v>
      </c>
      <c r="E10" t="s">
        <v>37</v>
      </c>
      <c r="F10" s="1" t="s">
        <v>80</v>
      </c>
      <c r="G10" t="s">
        <v>81</v>
      </c>
      <c r="H10" t="s">
        <v>82</v>
      </c>
      <c r="I10" t="s">
        <v>83</v>
      </c>
      <c r="J10" t="str">
        <f t="shared" si="0"/>
        <v>amal.dev</v>
      </c>
    </row>
    <row r="11" spans="1:10">
      <c r="A11">
        <v>1010</v>
      </c>
      <c r="B11" t="s">
        <v>84</v>
      </c>
      <c r="C11" t="s">
        <v>85</v>
      </c>
      <c r="D11" t="s">
        <v>86</v>
      </c>
      <c r="E11" t="s">
        <v>44</v>
      </c>
      <c r="F11" s="1">
        <v>45417</v>
      </c>
      <c r="G11" t="s">
        <v>87</v>
      </c>
      <c r="H11" t="s">
        <v>88</v>
      </c>
      <c r="I11" t="s">
        <v>89</v>
      </c>
      <c r="J11" t="str">
        <f t="shared" si="0"/>
        <v>fathima.ali</v>
      </c>
    </row>
    <row r="12" spans="1:10">
      <c r="A12">
        <v>1011</v>
      </c>
      <c r="B12" t="s">
        <v>90</v>
      </c>
      <c r="C12" t="s">
        <v>91</v>
      </c>
      <c r="D12" t="s">
        <v>92</v>
      </c>
      <c r="E12" t="s">
        <v>22</v>
      </c>
      <c r="F12" s="1" t="s">
        <v>93</v>
      </c>
      <c r="G12" t="s">
        <v>94</v>
      </c>
      <c r="H12" t="s">
        <v>95</v>
      </c>
      <c r="I12" t="s">
        <v>96</v>
      </c>
      <c r="J12" t="str">
        <f t="shared" si="0"/>
        <v>roshan.kumar</v>
      </c>
    </row>
    <row r="13" spans="1:10">
      <c r="A13">
        <v>1012</v>
      </c>
      <c r="B13" t="s">
        <v>97</v>
      </c>
      <c r="C13" t="s">
        <v>98</v>
      </c>
      <c r="D13" t="s">
        <v>99</v>
      </c>
      <c r="E13" t="s">
        <v>29</v>
      </c>
      <c r="F13" s="1" t="s">
        <v>100</v>
      </c>
      <c r="G13" t="s">
        <v>101</v>
      </c>
      <c r="H13" t="s">
        <v>102</v>
      </c>
      <c r="I13" t="s">
        <v>103</v>
      </c>
      <c r="J13" t="str">
        <f t="shared" si="0"/>
        <v>sneha.nair</v>
      </c>
    </row>
    <row r="14" spans="1:10">
      <c r="A14">
        <v>1013</v>
      </c>
      <c r="B14" t="s">
        <v>104</v>
      </c>
      <c r="C14" t="s">
        <v>105</v>
      </c>
      <c r="D14" t="s">
        <v>106</v>
      </c>
      <c r="E14" t="s">
        <v>52</v>
      </c>
      <c r="F14" s="1">
        <v>45632</v>
      </c>
      <c r="G14" t="s">
        <v>107</v>
      </c>
      <c r="H14" t="s">
        <v>108</v>
      </c>
      <c r="I14" t="s">
        <v>109</v>
      </c>
      <c r="J14" t="str">
        <f t="shared" si="0"/>
        <v>akhil.raj</v>
      </c>
    </row>
    <row r="15" spans="1:10">
      <c r="A15">
        <v>1014</v>
      </c>
      <c r="B15" t="s">
        <v>110</v>
      </c>
      <c r="C15" t="s">
        <v>111</v>
      </c>
      <c r="D15" t="s">
        <v>112</v>
      </c>
      <c r="E15" t="s">
        <v>59</v>
      </c>
      <c r="F15" s="1" t="s">
        <v>113</v>
      </c>
      <c r="G15" t="s">
        <v>114</v>
      </c>
      <c r="H15" t="s">
        <v>115</v>
      </c>
      <c r="I15" t="s">
        <v>116</v>
      </c>
      <c r="J15" t="str">
        <f t="shared" si="0"/>
        <v>divya.menon</v>
      </c>
    </row>
    <row r="16" spans="1:10">
      <c r="A16">
        <v>1015</v>
      </c>
      <c r="B16" t="s">
        <v>117</v>
      </c>
      <c r="C16" t="s">
        <v>118</v>
      </c>
      <c r="D16" t="s">
        <v>119</v>
      </c>
      <c r="E16" t="s">
        <v>22</v>
      </c>
      <c r="F16" s="1">
        <v>45511</v>
      </c>
      <c r="G16" t="s">
        <v>120</v>
      </c>
      <c r="H16" t="s">
        <v>121</v>
      </c>
      <c r="I16" t="s">
        <v>122</v>
      </c>
      <c r="J16" t="str">
        <f t="shared" si="0"/>
        <v>naveen.jose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AC329-762C-4560-BEE8-F56D8FEDD81E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892A1-E22D-4323-A327-F2F70382C094}">
  <dimension ref="A1:J16"/>
  <sheetViews>
    <sheetView workbookViewId="0">
      <selection activeCell="H2" sqref="H2"/>
    </sheetView>
  </sheetViews>
  <sheetFormatPr defaultRowHeight="15"/>
  <cols>
    <col min="1" max="1" width="14.28515625" customWidth="1"/>
    <col min="2" max="2" width="18.140625" customWidth="1"/>
    <col min="3" max="3" width="26" customWidth="1"/>
    <col min="4" max="4" width="15.28515625" customWidth="1"/>
    <col min="5" max="5" width="13.85546875" customWidth="1"/>
    <col min="6" max="6" width="28.85546875" customWidth="1"/>
    <col min="7" max="8" width="18.85546875" customWidth="1"/>
    <col min="9" max="9" width="18.5703125" customWidth="1"/>
    <col min="10" max="10" width="31.28515625" customWidth="1"/>
  </cols>
  <sheetData>
    <row r="1" spans="1:10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I1">
        <f>FIND("@",C2)</f>
        <v>11</v>
      </c>
    </row>
    <row r="2" spans="1:10">
      <c r="A2">
        <v>1001</v>
      </c>
      <c r="B2" t="s">
        <v>19</v>
      </c>
      <c r="C2" t="s">
        <v>20</v>
      </c>
      <c r="D2" t="s">
        <v>21</v>
      </c>
      <c r="E2" t="s">
        <v>22</v>
      </c>
      <c r="F2" s="1"/>
      <c r="G2" t="s">
        <v>24</v>
      </c>
      <c r="H2" t="str">
        <f>MID(F3,4,5)</f>
        <v>01/20</v>
      </c>
      <c r="I2">
        <f t="shared" ref="I2:I16" si="0">FIND("@",C3)</f>
        <v>11</v>
      </c>
      <c r="J2" t="str">
        <f>LEFT(C2,FIND("@",C2)-1)</f>
        <v>arun.kumar</v>
      </c>
    </row>
    <row r="3" spans="1:10">
      <c r="A3">
        <v>1002</v>
      </c>
      <c r="B3" t="s">
        <v>26</v>
      </c>
      <c r="C3" t="s">
        <v>27</v>
      </c>
      <c r="D3" t="s">
        <v>28</v>
      </c>
      <c r="E3" t="s">
        <v>29</v>
      </c>
      <c r="F3" s="1" t="s">
        <v>30</v>
      </c>
      <c r="G3" t="s">
        <v>32</v>
      </c>
      <c r="H3" t="str">
        <f t="shared" ref="H3:H16" si="1">MID(F4,4,5)</f>
        <v>rsday</v>
      </c>
      <c r="I3">
        <f t="shared" si="0"/>
        <v>12</v>
      </c>
      <c r="J3" t="str">
        <f t="shared" ref="J3:J16" si="2">LEFT(C3,FIND("@",C3)-1)</f>
        <v>priya.nair</v>
      </c>
    </row>
    <row r="4" spans="1:10">
      <c r="A4">
        <v>1003</v>
      </c>
      <c r="B4" t="s">
        <v>34</v>
      </c>
      <c r="C4" t="s">
        <v>35</v>
      </c>
      <c r="D4" t="s">
        <v>36</v>
      </c>
      <c r="E4" t="s">
        <v>37</v>
      </c>
      <c r="F4" s="1" t="s">
        <v>123</v>
      </c>
      <c r="G4" t="s">
        <v>39</v>
      </c>
      <c r="H4" t="str">
        <f t="shared" si="1"/>
        <v>02/20</v>
      </c>
      <c r="I4">
        <f t="shared" si="0"/>
        <v>12</v>
      </c>
      <c r="J4" t="str">
        <f t="shared" si="2"/>
        <v>rahul.menon</v>
      </c>
    </row>
    <row r="5" spans="1:10">
      <c r="A5">
        <v>1004</v>
      </c>
      <c r="B5" t="s">
        <v>41</v>
      </c>
      <c r="C5" t="s">
        <v>42</v>
      </c>
      <c r="D5" t="s">
        <v>43</v>
      </c>
      <c r="E5" t="s">
        <v>44</v>
      </c>
      <c r="F5" s="1" t="s">
        <v>45</v>
      </c>
      <c r="G5" t="s">
        <v>47</v>
      </c>
      <c r="H5" t="str">
        <f t="shared" si="1"/>
        <v>nesda</v>
      </c>
      <c r="I5">
        <f t="shared" si="0"/>
        <v>11</v>
      </c>
      <c r="J5" t="str">
        <f t="shared" si="2"/>
        <v>neha.thomas</v>
      </c>
    </row>
    <row r="6" spans="1:10">
      <c r="A6">
        <v>1005</v>
      </c>
      <c r="B6" t="s">
        <v>49</v>
      </c>
      <c r="C6" t="s">
        <v>50</v>
      </c>
      <c r="D6" t="s">
        <v>51</v>
      </c>
      <c r="E6" t="s">
        <v>52</v>
      </c>
      <c r="F6" s="1" t="s">
        <v>124</v>
      </c>
      <c r="G6" t="s">
        <v>54</v>
      </c>
      <c r="H6" t="str">
        <f t="shared" si="1"/>
        <v>03/20</v>
      </c>
      <c r="I6">
        <f t="shared" si="0"/>
        <v>11</v>
      </c>
      <c r="J6" t="str">
        <f t="shared" si="2"/>
        <v>vishnu.raj</v>
      </c>
    </row>
    <row r="7" spans="1:10">
      <c r="A7">
        <v>1006</v>
      </c>
      <c r="B7" t="s">
        <v>56</v>
      </c>
      <c r="C7" t="s">
        <v>57</v>
      </c>
      <c r="D7" t="s">
        <v>58</v>
      </c>
      <c r="E7" t="s">
        <v>59</v>
      </c>
      <c r="F7" s="1" t="s">
        <v>60</v>
      </c>
      <c r="G7" t="s">
        <v>62</v>
      </c>
      <c r="H7" t="str">
        <f t="shared" si="1"/>
        <v>03/20</v>
      </c>
      <c r="I7">
        <f t="shared" si="0"/>
        <v>12</v>
      </c>
      <c r="J7" t="str">
        <f t="shared" si="2"/>
        <v>anjali.das</v>
      </c>
    </row>
    <row r="8" spans="1:10">
      <c r="A8">
        <v>1007</v>
      </c>
      <c r="B8" t="s">
        <v>64</v>
      </c>
      <c r="C8" t="s">
        <v>65</v>
      </c>
      <c r="D8" t="s">
        <v>66</v>
      </c>
      <c r="E8" t="s">
        <v>22</v>
      </c>
      <c r="F8" s="1" t="s">
        <v>67</v>
      </c>
      <c r="G8" t="s">
        <v>69</v>
      </c>
      <c r="H8" t="str">
        <f t="shared" si="1"/>
        <v>day,O</v>
      </c>
      <c r="I8">
        <f t="shared" si="0"/>
        <v>11</v>
      </c>
      <c r="J8" t="str">
        <f t="shared" si="2"/>
        <v>suresh.babu</v>
      </c>
    </row>
    <row r="9" spans="1:10">
      <c r="A9">
        <v>1008</v>
      </c>
      <c r="B9" t="s">
        <v>71</v>
      </c>
      <c r="C9" t="s">
        <v>72</v>
      </c>
      <c r="D9" t="s">
        <v>73</v>
      </c>
      <c r="E9" t="s">
        <v>29</v>
      </c>
      <c r="F9" s="1" t="s">
        <v>125</v>
      </c>
      <c r="G9" t="s">
        <v>75</v>
      </c>
      <c r="H9" t="str">
        <f t="shared" si="1"/>
        <v>04/20</v>
      </c>
      <c r="I9">
        <f t="shared" si="0"/>
        <v>9</v>
      </c>
      <c r="J9" t="str">
        <f t="shared" si="2"/>
        <v>meera.jose</v>
      </c>
    </row>
    <row r="10" spans="1:10">
      <c r="A10">
        <v>1009</v>
      </c>
      <c r="B10" t="s">
        <v>77</v>
      </c>
      <c r="C10" t="s">
        <v>78</v>
      </c>
      <c r="D10" t="s">
        <v>79</v>
      </c>
      <c r="E10" t="s">
        <v>37</v>
      </c>
      <c r="F10" s="1" t="s">
        <v>80</v>
      </c>
      <c r="G10" t="s">
        <v>82</v>
      </c>
      <c r="H10" t="str">
        <f t="shared" si="1"/>
        <v>day,M</v>
      </c>
      <c r="I10">
        <f t="shared" si="0"/>
        <v>12</v>
      </c>
      <c r="J10" t="str">
        <f t="shared" si="2"/>
        <v>amal.dev</v>
      </c>
    </row>
    <row r="11" spans="1:10">
      <c r="A11">
        <v>1010</v>
      </c>
      <c r="B11" t="s">
        <v>84</v>
      </c>
      <c r="C11" t="s">
        <v>85</v>
      </c>
      <c r="D11" t="s">
        <v>86</v>
      </c>
      <c r="E11" t="s">
        <v>44</v>
      </c>
      <c r="F11" s="1" t="s">
        <v>126</v>
      </c>
      <c r="G11" t="s">
        <v>88</v>
      </c>
      <c r="H11" t="str">
        <f t="shared" si="1"/>
        <v>05/20</v>
      </c>
      <c r="I11">
        <f t="shared" si="0"/>
        <v>13</v>
      </c>
      <c r="J11" t="str">
        <f t="shared" si="2"/>
        <v>fathima.ali</v>
      </c>
    </row>
    <row r="12" spans="1:10">
      <c r="A12">
        <v>1011</v>
      </c>
      <c r="B12" t="s">
        <v>90</v>
      </c>
      <c r="C12" t="s">
        <v>91</v>
      </c>
      <c r="D12" t="s">
        <v>92</v>
      </c>
      <c r="E12" t="s">
        <v>22</v>
      </c>
      <c r="F12" s="1" t="s">
        <v>93</v>
      </c>
      <c r="G12" t="s">
        <v>95</v>
      </c>
      <c r="H12" t="str">
        <f t="shared" si="1"/>
        <v>05/20</v>
      </c>
      <c r="I12">
        <f t="shared" si="0"/>
        <v>11</v>
      </c>
      <c r="J12" t="str">
        <f t="shared" si="2"/>
        <v>roshan.kumar</v>
      </c>
    </row>
    <row r="13" spans="1:10">
      <c r="A13">
        <v>1012</v>
      </c>
      <c r="B13" t="s">
        <v>97</v>
      </c>
      <c r="C13" t="s">
        <v>98</v>
      </c>
      <c r="D13" t="s">
        <v>99</v>
      </c>
      <c r="E13" t="s">
        <v>29</v>
      </c>
      <c r="F13" s="1" t="s">
        <v>100</v>
      </c>
      <c r="G13" t="s">
        <v>102</v>
      </c>
      <c r="H13" t="str">
        <f t="shared" si="1"/>
        <v>day,D</v>
      </c>
      <c r="I13">
        <f t="shared" si="0"/>
        <v>10</v>
      </c>
      <c r="J13" t="str">
        <f t="shared" si="2"/>
        <v>sneha.nair</v>
      </c>
    </row>
    <row r="14" spans="1:10">
      <c r="A14">
        <v>1013</v>
      </c>
      <c r="B14" t="s">
        <v>104</v>
      </c>
      <c r="C14" t="s">
        <v>105</v>
      </c>
      <c r="D14" t="s">
        <v>106</v>
      </c>
      <c r="E14" t="s">
        <v>52</v>
      </c>
      <c r="F14" s="1" t="s">
        <v>127</v>
      </c>
      <c r="G14" t="s">
        <v>108</v>
      </c>
      <c r="H14" t="str">
        <f t="shared" si="1"/>
        <v>06/20</v>
      </c>
      <c r="I14">
        <f t="shared" si="0"/>
        <v>12</v>
      </c>
      <c r="J14" t="str">
        <f t="shared" si="2"/>
        <v>akhil.raj</v>
      </c>
    </row>
    <row r="15" spans="1:10">
      <c r="A15">
        <v>1014</v>
      </c>
      <c r="B15" t="s">
        <v>110</v>
      </c>
      <c r="C15" t="s">
        <v>111</v>
      </c>
      <c r="D15" t="s">
        <v>112</v>
      </c>
      <c r="E15" t="s">
        <v>59</v>
      </c>
      <c r="F15" s="1" t="s">
        <v>113</v>
      </c>
      <c r="G15" t="s">
        <v>115</v>
      </c>
      <c r="H15" t="str">
        <f t="shared" si="1"/>
        <v>nesda</v>
      </c>
      <c r="I15">
        <f t="shared" si="0"/>
        <v>12</v>
      </c>
      <c r="J15" t="str">
        <f t="shared" si="2"/>
        <v>divya.menon</v>
      </c>
    </row>
    <row r="16" spans="1:10">
      <c r="A16">
        <v>1015</v>
      </c>
      <c r="B16" t="s">
        <v>117</v>
      </c>
      <c r="C16" s="2" t="s">
        <v>118</v>
      </c>
      <c r="D16" t="s">
        <v>119</v>
      </c>
      <c r="E16" t="s">
        <v>22</v>
      </c>
      <c r="F16" s="1" t="s">
        <v>128</v>
      </c>
      <c r="G16" t="s">
        <v>121</v>
      </c>
      <c r="H16" t="str">
        <f t="shared" si="1"/>
        <v/>
      </c>
      <c r="I16">
        <f>FIND("@",C16)</f>
        <v>12</v>
      </c>
      <c r="J16" t="str">
        <f t="shared" si="2"/>
        <v>naveen.jose</v>
      </c>
    </row>
  </sheetData>
  <hyperlinks>
    <hyperlink ref="C16" r:id="rId1" xr:uid="{27B241DD-42C7-4028-9F1E-088DB178353A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91125-9B05-4549-9CB2-4C740E35BAF6}">
  <dimension ref="A1:E11"/>
  <sheetViews>
    <sheetView workbookViewId="0">
      <selection activeCell="E2" sqref="E2"/>
    </sheetView>
  </sheetViews>
  <sheetFormatPr defaultRowHeight="15"/>
  <sheetData>
    <row r="1" spans="1:5">
      <c r="A1" t="s">
        <v>129</v>
      </c>
      <c r="B1" t="s">
        <v>130</v>
      </c>
      <c r="C1" t="s">
        <v>131</v>
      </c>
    </row>
    <row r="2" spans="1:5">
      <c r="A2" t="s">
        <v>132</v>
      </c>
      <c r="B2">
        <v>78</v>
      </c>
      <c r="C2" t="str">
        <f>IF(B2&gt;40,"Pass","Fail")</f>
        <v>Pass</v>
      </c>
      <c r="D2" t="str" cm="1">
        <f t="array" ref="D2">IF(B2&gt;=90,"A",IF(B2&gt;=75,"B", IF(B2&gt;=60,"C",Fail)))</f>
        <v>B</v>
      </c>
      <c r="E2" t="str" cm="1">
        <f t="array" ref="E2">_xlfn.IFS(B2&gt;=90,"A",B2&gt;=75,"B",B2&gt;=60,"C",B2&gt;=40,"D",B2&lt;40,"Failed")</f>
        <v>B</v>
      </c>
    </row>
    <row r="3" spans="1:5">
      <c r="A3" t="s">
        <v>133</v>
      </c>
      <c r="B3">
        <v>92</v>
      </c>
      <c r="C3" t="str">
        <f t="shared" ref="C3:C11" si="0">IF(B3&gt;40,"Pass","Fail")</f>
        <v>Pass</v>
      </c>
      <c r="D3" t="str" cm="1">
        <f t="array" ref="D3">IF(B3&gt;=90,"A",IF(B3&gt;=75,"B", IF(B3&gt;=60,"C",Fail)))</f>
        <v>A</v>
      </c>
      <c r="E3" t="str" cm="1">
        <f t="array" ref="E3">_xlfn.IFS(B3&gt;=90,"A",B3&gt;=75,"B",B3&gt;=60,"C",B3&gt;=40,"D",B3&lt;40,"Failed")</f>
        <v>A</v>
      </c>
    </row>
    <row r="4" spans="1:5">
      <c r="A4" t="s">
        <v>134</v>
      </c>
      <c r="B4">
        <v>35</v>
      </c>
      <c r="C4" t="str">
        <f t="shared" si="0"/>
        <v>Fail</v>
      </c>
      <c r="D4" t="str">
        <f>IF(B4&gt;=90,"A",IF(B4&gt;=75,"B", IF(B4&gt;=60,"C","Fail")))</f>
        <v>Fail</v>
      </c>
      <c r="E4" t="str" cm="1">
        <f t="array" ref="E4">_xlfn.IFS(B4&gt;=90,"A",B4&gt;=75,"B",B4&gt;=60,"C",B4&gt;=40,"D",B4&lt;40,"Failed")</f>
        <v>Failed</v>
      </c>
    </row>
    <row r="5" spans="1:5">
      <c r="A5" t="s">
        <v>135</v>
      </c>
      <c r="B5">
        <v>67</v>
      </c>
      <c r="C5" t="str">
        <f t="shared" si="0"/>
        <v>Pass</v>
      </c>
      <c r="D5" t="str">
        <f t="shared" ref="D5:D11" si="1">IF(B5&gt;=90,"A",IF(B5&gt;=75,"B", IF(B5&gt;=60,"C","Fail")))</f>
        <v>C</v>
      </c>
      <c r="E5" t="str" cm="1">
        <f t="array" ref="E5">_xlfn.IFS(B5&gt;=90,"A",B5&gt;=75,"B",B5&gt;=60,"C",B5&gt;=40,"D",B5&lt;40,"Failed")</f>
        <v>C</v>
      </c>
    </row>
    <row r="6" spans="1:5">
      <c r="A6" t="s">
        <v>136</v>
      </c>
      <c r="B6">
        <v>40</v>
      </c>
      <c r="C6" t="str">
        <f t="shared" si="0"/>
        <v>Fail</v>
      </c>
      <c r="D6" t="str">
        <f t="shared" si="1"/>
        <v>Fail</v>
      </c>
      <c r="E6" t="str" cm="1">
        <f t="array" ref="E6">_xlfn.IFS(B6&gt;=90,"A",B6&gt;=75,"B",B6&gt;=60,"C",B6&gt;=40,"D",B6&lt;40,"Failed")</f>
        <v>D</v>
      </c>
    </row>
    <row r="7" spans="1:5">
      <c r="A7" t="s">
        <v>137</v>
      </c>
      <c r="B7">
        <v>29</v>
      </c>
      <c r="C7" t="str">
        <f t="shared" si="0"/>
        <v>Fail</v>
      </c>
      <c r="D7" t="str">
        <f t="shared" si="1"/>
        <v>Fail</v>
      </c>
      <c r="E7" t="str" cm="1">
        <f t="array" ref="E7">_xlfn.IFS(B7&gt;=90,"A",B7&gt;=75,"B",B7&gt;=60,"C",B7&gt;=40,"D",B7&lt;40,"Failed")</f>
        <v>Failed</v>
      </c>
    </row>
    <row r="8" spans="1:5">
      <c r="A8" t="s">
        <v>138</v>
      </c>
      <c r="B8">
        <v>88</v>
      </c>
      <c r="C8" t="str">
        <f t="shared" si="0"/>
        <v>Pass</v>
      </c>
      <c r="D8" t="str">
        <f t="shared" si="1"/>
        <v>B</v>
      </c>
      <c r="E8" t="str" cm="1">
        <f t="array" ref="E8">_xlfn.IFS(B8&gt;=90,"A",B8&gt;=75,"B",B8&gt;=60,"C",B8&gt;=40,"D",B8&lt;40,"Failed")</f>
        <v>B</v>
      </c>
    </row>
    <row r="9" spans="1:5">
      <c r="A9" t="s">
        <v>139</v>
      </c>
      <c r="B9">
        <v>56</v>
      </c>
      <c r="C9" t="str">
        <f t="shared" si="0"/>
        <v>Pass</v>
      </c>
      <c r="D9" t="str">
        <f t="shared" si="1"/>
        <v>Fail</v>
      </c>
      <c r="E9" t="str" cm="1">
        <f t="array" ref="E9">_xlfn.IFS(B9&gt;=90,"A",B9&gt;=75,"B",B9&gt;=60,"C",B9&gt;=40,"D",B9&lt;40,"Failed")</f>
        <v>D</v>
      </c>
    </row>
    <row r="10" spans="1:5">
      <c r="A10" t="s">
        <v>140</v>
      </c>
      <c r="B10">
        <v>39</v>
      </c>
      <c r="C10" t="str">
        <f t="shared" si="0"/>
        <v>Fail</v>
      </c>
      <c r="D10" t="str">
        <f t="shared" si="1"/>
        <v>Fail</v>
      </c>
      <c r="E10" t="str" cm="1">
        <f t="array" ref="E10">_xlfn.IFS(B10&gt;=90,"A",B10&gt;=75,"B",B10&gt;=60,"C",B10&gt;=40,"D",B10&lt;40,"Failed")</f>
        <v>Failed</v>
      </c>
    </row>
    <row r="11" spans="1:5">
      <c r="A11" t="s">
        <v>141</v>
      </c>
      <c r="B11">
        <v>73</v>
      </c>
      <c r="C11" t="str">
        <f t="shared" si="0"/>
        <v>Pass</v>
      </c>
      <c r="D11" t="str">
        <f t="shared" si="1"/>
        <v>C</v>
      </c>
      <c r="E11" t="str" cm="1">
        <f t="array" ref="E11">_xlfn.IFS(B11&gt;=90,"A",B11&gt;=75,"B",B11&gt;=60,"C",B11&gt;=40,"D",B11&lt;40,"Failed")</f>
        <v>C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F15B2-AE2E-4251-B54F-37D7F8B79287}">
  <dimension ref="A1:L16"/>
  <sheetViews>
    <sheetView workbookViewId="0">
      <selection activeCell="J2" sqref="J2"/>
    </sheetView>
  </sheetViews>
  <sheetFormatPr defaultRowHeight="15"/>
  <cols>
    <col min="10" max="10" width="17.140625" customWidth="1"/>
    <col min="11" max="11" width="18.5703125" customWidth="1"/>
  </cols>
  <sheetData>
    <row r="1" spans="1:12">
      <c r="A1" t="s">
        <v>142</v>
      </c>
      <c r="B1" t="s">
        <v>11</v>
      </c>
      <c r="C1" t="s">
        <v>143</v>
      </c>
      <c r="D1" t="s">
        <v>144</v>
      </c>
      <c r="E1" t="s">
        <v>145</v>
      </c>
      <c r="F1" t="s">
        <v>146</v>
      </c>
      <c r="G1" t="s">
        <v>147</v>
      </c>
      <c r="H1" t="s">
        <v>148</v>
      </c>
      <c r="I1" t="s">
        <v>149</v>
      </c>
    </row>
    <row r="2" spans="1:12">
      <c r="A2" t="s">
        <v>150</v>
      </c>
      <c r="B2" t="s">
        <v>151</v>
      </c>
      <c r="C2">
        <v>20</v>
      </c>
      <c r="D2">
        <v>78</v>
      </c>
      <c r="E2">
        <v>82</v>
      </c>
      <c r="F2">
        <v>74</v>
      </c>
      <c r="G2">
        <v>92</v>
      </c>
      <c r="H2" t="s">
        <v>152</v>
      </c>
      <c r="I2" t="s">
        <v>152</v>
      </c>
      <c r="J2" t="str">
        <f>IF(AND(D2&gt;40,E2&gt;40,F2&gt;40),"Eligible","Not eligible")</f>
        <v>Eligible</v>
      </c>
      <c r="K2" t="str">
        <f>IF(OR(G2&gt;=75,H2="Yes"),"Can attend","Cannot attend")</f>
        <v>Can attend</v>
      </c>
      <c r="L2" t="str">
        <f>IF(NOT(I2="Yes"),"cant attend","can")</f>
        <v>can</v>
      </c>
    </row>
    <row r="3" spans="1:12">
      <c r="A3" t="s">
        <v>153</v>
      </c>
      <c r="B3" t="s">
        <v>154</v>
      </c>
      <c r="C3">
        <v>21</v>
      </c>
      <c r="D3">
        <v>65</v>
      </c>
      <c r="E3">
        <v>71</v>
      </c>
      <c r="F3">
        <v>68</v>
      </c>
      <c r="G3">
        <v>85</v>
      </c>
      <c r="H3" t="s">
        <v>152</v>
      </c>
      <c r="I3" t="s">
        <v>152</v>
      </c>
      <c r="J3" t="str">
        <f t="shared" ref="J3:J16" si="0">IF(AND(D3&gt;40,E3&gt;40,F3&gt;40),"Eligible","Not eligible")</f>
        <v>Eligible</v>
      </c>
      <c r="K3" t="str">
        <f t="shared" ref="K3:K16" si="1">IF(OR(G3&gt;=75,H3="Yes"),"Can attend","Cannot attend")</f>
        <v>Can attend</v>
      </c>
      <c r="L3" t="str">
        <f t="shared" ref="L3:L16" si="2">IF(NOT(I3="Yes"),"cant attend","can")</f>
        <v>can</v>
      </c>
    </row>
    <row r="4" spans="1:12">
      <c r="A4" t="s">
        <v>155</v>
      </c>
      <c r="B4" t="s">
        <v>156</v>
      </c>
      <c r="C4">
        <v>20</v>
      </c>
      <c r="D4">
        <v>45</v>
      </c>
      <c r="E4">
        <v>52</v>
      </c>
      <c r="F4">
        <v>48</v>
      </c>
      <c r="G4">
        <v>78</v>
      </c>
      <c r="H4" t="s">
        <v>152</v>
      </c>
      <c r="I4" t="s">
        <v>157</v>
      </c>
      <c r="J4" t="str">
        <f t="shared" si="0"/>
        <v>Eligible</v>
      </c>
      <c r="K4" t="str">
        <f t="shared" si="1"/>
        <v>Can attend</v>
      </c>
      <c r="L4" t="str">
        <f t="shared" si="2"/>
        <v>cant attend</v>
      </c>
    </row>
    <row r="5" spans="1:12">
      <c r="A5" t="s">
        <v>158</v>
      </c>
      <c r="B5" t="s">
        <v>138</v>
      </c>
      <c r="C5">
        <v>22</v>
      </c>
      <c r="D5">
        <v>88</v>
      </c>
      <c r="E5">
        <v>91</v>
      </c>
      <c r="F5">
        <v>85</v>
      </c>
      <c r="G5">
        <v>96</v>
      </c>
      <c r="H5" t="s">
        <v>152</v>
      </c>
      <c r="I5" t="s">
        <v>152</v>
      </c>
      <c r="J5" t="str">
        <f t="shared" si="0"/>
        <v>Eligible</v>
      </c>
      <c r="K5" t="str">
        <f t="shared" si="1"/>
        <v>Can attend</v>
      </c>
      <c r="L5" t="str">
        <f t="shared" si="2"/>
        <v>can</v>
      </c>
    </row>
    <row r="6" spans="1:12">
      <c r="A6" t="s">
        <v>159</v>
      </c>
      <c r="B6" t="s">
        <v>160</v>
      </c>
      <c r="C6">
        <v>21</v>
      </c>
      <c r="D6">
        <v>55</v>
      </c>
      <c r="E6">
        <v>61</v>
      </c>
      <c r="F6">
        <v>58</v>
      </c>
      <c r="G6">
        <v>72</v>
      </c>
      <c r="H6" t="s">
        <v>157</v>
      </c>
      <c r="I6" t="s">
        <v>152</v>
      </c>
      <c r="J6" t="str">
        <f t="shared" si="0"/>
        <v>Eligible</v>
      </c>
      <c r="K6" t="str">
        <f t="shared" si="1"/>
        <v>Cannot attend</v>
      </c>
      <c r="L6" t="str">
        <f t="shared" si="2"/>
        <v>can</v>
      </c>
    </row>
    <row r="7" spans="1:12">
      <c r="A7" t="s">
        <v>161</v>
      </c>
      <c r="B7" t="s">
        <v>162</v>
      </c>
      <c r="C7">
        <v>20</v>
      </c>
      <c r="D7">
        <v>92</v>
      </c>
      <c r="E7">
        <v>89</v>
      </c>
      <c r="F7">
        <v>95</v>
      </c>
      <c r="G7">
        <v>98</v>
      </c>
      <c r="H7" t="s">
        <v>152</v>
      </c>
      <c r="I7" t="s">
        <v>152</v>
      </c>
      <c r="J7" t="str">
        <f t="shared" si="0"/>
        <v>Eligible</v>
      </c>
      <c r="K7" t="str">
        <f t="shared" si="1"/>
        <v>Can attend</v>
      </c>
      <c r="L7" t="str">
        <f t="shared" si="2"/>
        <v>can</v>
      </c>
    </row>
    <row r="8" spans="1:12">
      <c r="A8" t="s">
        <v>163</v>
      </c>
      <c r="B8" t="s">
        <v>164</v>
      </c>
      <c r="C8">
        <v>23</v>
      </c>
      <c r="D8">
        <v>38</v>
      </c>
      <c r="E8">
        <v>44</v>
      </c>
      <c r="F8">
        <v>51</v>
      </c>
      <c r="G8">
        <v>65</v>
      </c>
      <c r="H8" t="s">
        <v>157</v>
      </c>
      <c r="I8" t="s">
        <v>157</v>
      </c>
      <c r="J8" t="str">
        <f t="shared" si="0"/>
        <v>Not eligible</v>
      </c>
      <c r="K8" t="str">
        <f t="shared" si="1"/>
        <v>Cannot attend</v>
      </c>
      <c r="L8" t="str">
        <f t="shared" si="2"/>
        <v>cant attend</v>
      </c>
    </row>
    <row r="9" spans="1:12">
      <c r="A9" t="s">
        <v>165</v>
      </c>
      <c r="B9" t="s">
        <v>133</v>
      </c>
      <c r="C9">
        <v>21</v>
      </c>
      <c r="D9">
        <v>76</v>
      </c>
      <c r="E9">
        <v>69</v>
      </c>
      <c r="F9">
        <v>81</v>
      </c>
      <c r="G9">
        <v>88</v>
      </c>
      <c r="H9" t="s">
        <v>152</v>
      </c>
      <c r="I9" t="s">
        <v>152</v>
      </c>
      <c r="J9" t="str">
        <f t="shared" si="0"/>
        <v>Eligible</v>
      </c>
      <c r="K9" t="str">
        <f t="shared" si="1"/>
        <v>Can attend</v>
      </c>
      <c r="L9" t="str">
        <f t="shared" si="2"/>
        <v>can</v>
      </c>
    </row>
    <row r="10" spans="1:12">
      <c r="A10" t="s">
        <v>166</v>
      </c>
      <c r="B10" t="s">
        <v>167</v>
      </c>
      <c r="C10">
        <v>22</v>
      </c>
      <c r="D10">
        <v>59</v>
      </c>
      <c r="E10">
        <v>63</v>
      </c>
      <c r="F10">
        <v>55</v>
      </c>
      <c r="G10">
        <v>80</v>
      </c>
      <c r="H10" t="s">
        <v>152</v>
      </c>
      <c r="I10" t="s">
        <v>157</v>
      </c>
      <c r="J10" t="str">
        <f t="shared" si="0"/>
        <v>Eligible</v>
      </c>
      <c r="K10" t="str">
        <f t="shared" si="1"/>
        <v>Can attend</v>
      </c>
      <c r="L10" t="str">
        <f t="shared" si="2"/>
        <v>cant attend</v>
      </c>
    </row>
    <row r="11" spans="1:12">
      <c r="A11" t="s">
        <v>168</v>
      </c>
      <c r="B11" t="s">
        <v>169</v>
      </c>
      <c r="C11">
        <v>20</v>
      </c>
      <c r="D11">
        <v>84</v>
      </c>
      <c r="E11">
        <v>79</v>
      </c>
      <c r="F11">
        <v>87</v>
      </c>
      <c r="G11">
        <v>94</v>
      </c>
      <c r="H11" t="s">
        <v>152</v>
      </c>
      <c r="I11" t="s">
        <v>152</v>
      </c>
      <c r="J11" t="str">
        <f t="shared" si="0"/>
        <v>Eligible</v>
      </c>
      <c r="K11" t="str">
        <f t="shared" si="1"/>
        <v>Can attend</v>
      </c>
      <c r="L11" t="str">
        <f t="shared" si="2"/>
        <v>can</v>
      </c>
    </row>
    <row r="12" spans="1:12">
      <c r="A12" t="s">
        <v>170</v>
      </c>
      <c r="B12" t="s">
        <v>171</v>
      </c>
      <c r="C12">
        <v>21</v>
      </c>
      <c r="D12">
        <v>49</v>
      </c>
      <c r="E12">
        <v>57</v>
      </c>
      <c r="F12">
        <v>62</v>
      </c>
      <c r="G12">
        <v>76</v>
      </c>
      <c r="H12" t="s">
        <v>157</v>
      </c>
      <c r="I12" t="s">
        <v>152</v>
      </c>
      <c r="J12" t="str">
        <f t="shared" si="0"/>
        <v>Eligible</v>
      </c>
      <c r="K12" t="str">
        <f t="shared" si="1"/>
        <v>Can attend</v>
      </c>
      <c r="L12" t="str">
        <f t="shared" si="2"/>
        <v>can</v>
      </c>
    </row>
    <row r="13" spans="1:12">
      <c r="A13" t="s">
        <v>172</v>
      </c>
      <c r="B13" t="s">
        <v>173</v>
      </c>
      <c r="C13">
        <v>22</v>
      </c>
      <c r="D13">
        <v>71</v>
      </c>
      <c r="E13">
        <v>75</v>
      </c>
      <c r="F13">
        <v>69</v>
      </c>
      <c r="G13">
        <v>89</v>
      </c>
      <c r="H13" t="s">
        <v>152</v>
      </c>
      <c r="I13" t="s">
        <v>152</v>
      </c>
      <c r="J13" t="str">
        <f t="shared" si="0"/>
        <v>Eligible</v>
      </c>
      <c r="K13" t="str">
        <f t="shared" si="1"/>
        <v>Can attend</v>
      </c>
      <c r="L13" t="str">
        <f t="shared" si="2"/>
        <v>can</v>
      </c>
    </row>
    <row r="14" spans="1:12">
      <c r="A14" t="s">
        <v>174</v>
      </c>
      <c r="B14" t="s">
        <v>134</v>
      </c>
      <c r="C14">
        <v>20</v>
      </c>
      <c r="D14">
        <v>33</v>
      </c>
      <c r="E14">
        <v>41</v>
      </c>
      <c r="F14">
        <v>45</v>
      </c>
      <c r="G14">
        <v>61</v>
      </c>
      <c r="H14" t="s">
        <v>157</v>
      </c>
      <c r="I14" t="s">
        <v>157</v>
      </c>
      <c r="J14" t="str">
        <f t="shared" si="0"/>
        <v>Not eligible</v>
      </c>
      <c r="K14" t="str">
        <f t="shared" si="1"/>
        <v>Cannot attend</v>
      </c>
      <c r="L14" t="str">
        <f t="shared" si="2"/>
        <v>cant attend</v>
      </c>
    </row>
    <row r="15" spans="1:12">
      <c r="A15" t="s">
        <v>175</v>
      </c>
      <c r="B15" t="s">
        <v>141</v>
      </c>
      <c r="C15">
        <v>21</v>
      </c>
      <c r="D15">
        <v>90</v>
      </c>
      <c r="E15">
        <v>94</v>
      </c>
      <c r="F15">
        <v>88</v>
      </c>
      <c r="G15">
        <v>97</v>
      </c>
      <c r="H15" t="s">
        <v>152</v>
      </c>
      <c r="I15" t="s">
        <v>152</v>
      </c>
      <c r="J15" t="str">
        <f t="shared" si="0"/>
        <v>Eligible</v>
      </c>
      <c r="K15" t="str">
        <f t="shared" si="1"/>
        <v>Can attend</v>
      </c>
      <c r="L15" t="str">
        <f t="shared" si="2"/>
        <v>can</v>
      </c>
    </row>
    <row r="16" spans="1:12">
      <c r="A16" t="s">
        <v>176</v>
      </c>
      <c r="B16" t="s">
        <v>177</v>
      </c>
      <c r="C16">
        <v>23</v>
      </c>
      <c r="D16">
        <v>67</v>
      </c>
      <c r="E16">
        <v>58</v>
      </c>
      <c r="F16">
        <v>72</v>
      </c>
      <c r="G16">
        <v>83</v>
      </c>
      <c r="H16" t="s">
        <v>152</v>
      </c>
      <c r="I16" t="s">
        <v>152</v>
      </c>
      <c r="J16" t="str">
        <f t="shared" si="0"/>
        <v>Eligible</v>
      </c>
      <c r="K16" t="str">
        <f t="shared" si="1"/>
        <v>Can attend</v>
      </c>
      <c r="L16" t="str">
        <f t="shared" si="2"/>
        <v>can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6F9DB-62AD-4D34-92B3-608CC4B0EAD3}">
  <dimension ref="A1:F8"/>
  <sheetViews>
    <sheetView workbookViewId="0">
      <selection activeCell="G15" sqref="G15"/>
    </sheetView>
  </sheetViews>
  <sheetFormatPr defaultRowHeight="15"/>
  <cols>
    <col min="2" max="2" width="19.7109375" customWidth="1"/>
  </cols>
  <sheetData>
    <row r="1" spans="1:6">
      <c r="A1" t="s">
        <v>129</v>
      </c>
      <c r="B1" t="s">
        <v>178</v>
      </c>
    </row>
    <row r="2" spans="1:6">
      <c r="A2" t="s">
        <v>179</v>
      </c>
      <c r="B2">
        <v>91123456789</v>
      </c>
    </row>
    <row r="3" spans="1:6">
      <c r="A3" t="s">
        <v>180</v>
      </c>
    </row>
    <row r="4" spans="1:6">
      <c r="A4" t="s">
        <v>181</v>
      </c>
      <c r="B4">
        <v>91987654321</v>
      </c>
    </row>
    <row r="8" spans="1:6">
      <c r="F8" t="str">
        <f>IF(ISBLANK(B3),"Blank","Not Blank")</f>
        <v>Blank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25745-F7FF-43A5-90F6-3DB42B6AEA79}">
  <dimension ref="A1:B5"/>
  <sheetViews>
    <sheetView workbookViewId="0">
      <selection activeCell="J10" sqref="J10"/>
    </sheetView>
  </sheetViews>
  <sheetFormatPr defaultRowHeight="15"/>
  <cols>
    <col min="1" max="1" width="21.7109375" customWidth="1"/>
  </cols>
  <sheetData>
    <row r="1" spans="1:2">
      <c r="A1" t="s">
        <v>182</v>
      </c>
      <c r="B1" t="s">
        <v>183</v>
      </c>
    </row>
    <row r="2" spans="1:2">
      <c r="A2" t="s">
        <v>0</v>
      </c>
      <c r="B2" t="s">
        <v>132</v>
      </c>
    </row>
    <row r="3" spans="1:2">
      <c r="A3" t="s">
        <v>184</v>
      </c>
      <c r="B3" t="s">
        <v>133</v>
      </c>
    </row>
    <row r="4" spans="1:2">
      <c r="A4" t="s">
        <v>185</v>
      </c>
      <c r="B4" t="s">
        <v>134</v>
      </c>
    </row>
    <row r="5" spans="1:2">
      <c r="A5" t="s">
        <v>186</v>
      </c>
      <c r="B5" t="s">
        <v>135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01E17-240F-4589-AE0B-BB193A4EAC80}">
  <dimension ref="A1:D4"/>
  <sheetViews>
    <sheetView workbookViewId="0">
      <selection activeCell="D2" sqref="D2"/>
    </sheetView>
  </sheetViews>
  <sheetFormatPr defaultRowHeight="15"/>
  <cols>
    <col min="4" max="4" width="27.5703125" customWidth="1"/>
  </cols>
  <sheetData>
    <row r="1" spans="1:4">
      <c r="A1" t="s">
        <v>187</v>
      </c>
      <c r="B1" t="s">
        <v>188</v>
      </c>
      <c r="C1" t="s">
        <v>189</v>
      </c>
    </row>
    <row r="2" spans="1:4">
      <c r="A2" t="s">
        <v>190</v>
      </c>
      <c r="B2">
        <v>2000</v>
      </c>
      <c r="C2">
        <v>40</v>
      </c>
      <c r="D2">
        <f>IFERROR(B2/C2,"No orders")</f>
        <v>50</v>
      </c>
    </row>
    <row r="3" spans="1:4">
      <c r="A3" t="s">
        <v>191</v>
      </c>
      <c r="B3">
        <v>2500</v>
      </c>
      <c r="C3">
        <v>50</v>
      </c>
      <c r="D3">
        <f t="shared" ref="D3:D4" si="0">IFERROR(B3/C3,"No orders")</f>
        <v>50</v>
      </c>
    </row>
    <row r="4" spans="1:4">
      <c r="A4" t="s">
        <v>192</v>
      </c>
      <c r="B4">
        <v>0</v>
      </c>
      <c r="C4">
        <v>0</v>
      </c>
      <c r="D4" t="str">
        <f t="shared" si="0"/>
        <v>No orders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36345-9E77-4C68-A45D-AF24431221A0}">
  <dimension ref="A1:B6"/>
  <sheetViews>
    <sheetView workbookViewId="0">
      <selection activeCell="B2" sqref="B2"/>
    </sheetView>
  </sheetViews>
  <sheetFormatPr defaultRowHeight="15"/>
  <sheetData>
    <row r="1" spans="1:2">
      <c r="A1" t="s">
        <v>129</v>
      </c>
      <c r="B1" t="s">
        <v>130</v>
      </c>
    </row>
    <row r="2" spans="1:2">
      <c r="A2" t="s">
        <v>193</v>
      </c>
      <c r="B2">
        <v>78</v>
      </c>
    </row>
    <row r="3" spans="1:2">
      <c r="A3" t="s">
        <v>133</v>
      </c>
      <c r="B3">
        <v>92</v>
      </c>
    </row>
    <row r="4" spans="1:2">
      <c r="A4" t="s">
        <v>132</v>
      </c>
      <c r="B4">
        <v>78</v>
      </c>
    </row>
    <row r="5" spans="1:2">
      <c r="A5" t="s">
        <v>134</v>
      </c>
      <c r="B5">
        <v>35</v>
      </c>
    </row>
    <row r="6" spans="1:2">
      <c r="A6" t="s">
        <v>135</v>
      </c>
      <c r="B6">
        <v>67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FB416-44E7-4BF2-830F-A0D403A5FA7F}">
  <dimension ref="A1:C4"/>
  <sheetViews>
    <sheetView workbookViewId="0">
      <selection activeCell="C2" sqref="C2"/>
    </sheetView>
  </sheetViews>
  <sheetFormatPr defaultRowHeight="15"/>
  <sheetData>
    <row r="1" spans="1:3">
      <c r="A1" t="s">
        <v>194</v>
      </c>
      <c r="B1" t="s">
        <v>195</v>
      </c>
    </row>
    <row r="2" spans="1:3">
      <c r="A2" t="s">
        <v>132</v>
      </c>
      <c r="B2" t="s">
        <v>196</v>
      </c>
      <c r="C2" t="str">
        <f>_xlfn.CONCAT(A2," ",B2)</f>
        <v>John Doe</v>
      </c>
    </row>
    <row r="3" spans="1:3">
      <c r="A3" t="s">
        <v>133</v>
      </c>
      <c r="B3" t="s">
        <v>197</v>
      </c>
      <c r="C3" t="str">
        <f t="shared" ref="C3:C4" si="0">_xlfn.CONCAT(A3," ",B3)</f>
        <v>Meera Sharma</v>
      </c>
    </row>
    <row r="4" spans="1:3">
      <c r="A4" t="s">
        <v>134</v>
      </c>
      <c r="B4" t="s">
        <v>198</v>
      </c>
      <c r="C4" t="str">
        <f t="shared" si="0"/>
        <v>Akhil Kumar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CE898-F699-468E-BCF3-3DFA1893932E}">
  <dimension ref="A1:D4"/>
  <sheetViews>
    <sheetView workbookViewId="0">
      <selection activeCell="D2" sqref="D2"/>
    </sheetView>
  </sheetViews>
  <sheetFormatPr defaultRowHeight="15"/>
  <cols>
    <col min="4" max="4" width="51.85546875" customWidth="1"/>
  </cols>
  <sheetData>
    <row r="1" spans="1:4">
      <c r="A1" t="s">
        <v>11</v>
      </c>
      <c r="B1" t="s">
        <v>199</v>
      </c>
      <c r="C1" t="s">
        <v>200</v>
      </c>
      <c r="D1">
        <f>F4</f>
        <v>0</v>
      </c>
    </row>
    <row r="2" spans="1:4">
      <c r="A2" t="s">
        <v>132</v>
      </c>
      <c r="B2" t="s">
        <v>201</v>
      </c>
      <c r="C2" t="s">
        <v>202</v>
      </c>
      <c r="D2" t="str">
        <f>_xlfn.TEXTJOIN(",",TRUE,A2:A4)</f>
        <v>John,Meera,Akhil</v>
      </c>
    </row>
    <row r="3" spans="1:4">
      <c r="A3" t="s">
        <v>133</v>
      </c>
      <c r="C3" t="s">
        <v>202</v>
      </c>
      <c r="D3" t="str">
        <f t="shared" ref="D3:D4" si="0">_xlfn.TEXTJOIN(",",TRUE,A3:A5)</f>
        <v>Meera,Akhil</v>
      </c>
    </row>
    <row r="4" spans="1:4">
      <c r="A4" t="s">
        <v>134</v>
      </c>
      <c r="B4" t="s">
        <v>203</v>
      </c>
      <c r="C4" t="s">
        <v>202</v>
      </c>
      <c r="D4" t="str">
        <f t="shared" si="0"/>
        <v>Akhil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F2C36-227F-4F48-B84B-6087CC24E3D6}">
  <dimension ref="A1:H11"/>
  <sheetViews>
    <sheetView tabSelected="1" workbookViewId="0">
      <selection activeCell="H2" sqref="H2"/>
    </sheetView>
  </sheetViews>
  <sheetFormatPr defaultRowHeight="15"/>
  <cols>
    <col min="1" max="1" width="9.28515625" bestFit="1" customWidth="1"/>
    <col min="2" max="2" width="13.28515625" bestFit="1" customWidth="1"/>
    <col min="3" max="3" width="20" bestFit="1" customWidth="1"/>
    <col min="4" max="4" width="15.140625" bestFit="1" customWidth="1"/>
    <col min="5" max="5" width="45" bestFit="1" customWidth="1"/>
    <col min="6" max="6" width="30" customWidth="1"/>
    <col min="7" max="7" width="16.140625" customWidth="1"/>
  </cols>
  <sheetData>
    <row r="1" spans="1:8">
      <c r="A1" t="s">
        <v>204</v>
      </c>
      <c r="B1" t="s">
        <v>205</v>
      </c>
      <c r="C1" t="s">
        <v>12</v>
      </c>
      <c r="D1" t="s">
        <v>206</v>
      </c>
      <c r="E1" t="s">
        <v>207</v>
      </c>
    </row>
    <row r="2" spans="1:8">
      <c r="A2" t="s">
        <v>208</v>
      </c>
      <c r="B2" t="s">
        <v>19</v>
      </c>
      <c r="C2" t="s">
        <v>209</v>
      </c>
      <c r="D2" t="s">
        <v>210</v>
      </c>
      <c r="E2" t="s">
        <v>211</v>
      </c>
      <c r="F2">
        <f>SEARCH("*@gmail.com",C2)</f>
        <v>1</v>
      </c>
      <c r="G2" t="str">
        <f>IF(ISNUMBER(SEARCH("*@gmail.com",C2)),"has gmail","dont have gamil")</f>
        <v>has gmail</v>
      </c>
      <c r="H2" t="str">
        <f>IF(ISNUMBER(SEARCH("*@gmail.com",C2)),"has gmail","dont have gmail")</f>
        <v>has gmail</v>
      </c>
    </row>
    <row r="3" spans="1:8">
      <c r="A3" t="s">
        <v>212</v>
      </c>
      <c r="B3" t="s">
        <v>26</v>
      </c>
      <c r="C3" t="s">
        <v>213</v>
      </c>
      <c r="D3" t="s">
        <v>214</v>
      </c>
      <c r="E3" t="s">
        <v>215</v>
      </c>
      <c r="F3" t="e">
        <f t="shared" ref="F3:F11" si="0">SEARCH("*@gmail.com",C3)</f>
        <v>#VALUE!</v>
      </c>
      <c r="G3" t="str">
        <f t="shared" ref="G3:G11" si="1">IF(ISNUMBER(SEARCH("*@gmail.com",C3)),"has gmail","dont have gamil")</f>
        <v>dont have gamil</v>
      </c>
      <c r="H3" t="str">
        <f t="shared" ref="H3:H11" si="2">IF(ISNUMBER(SEARCH("*@gmail.com",C3)),"has gmail","dont have gmail")</f>
        <v>dont have gmail</v>
      </c>
    </row>
    <row r="4" spans="1:8">
      <c r="A4" t="s">
        <v>216</v>
      </c>
      <c r="B4" t="s">
        <v>34</v>
      </c>
      <c r="C4" t="s">
        <v>217</v>
      </c>
      <c r="D4" t="s">
        <v>218</v>
      </c>
      <c r="E4" t="s">
        <v>219</v>
      </c>
      <c r="F4">
        <f t="shared" si="0"/>
        <v>1</v>
      </c>
      <c r="G4" t="str">
        <f t="shared" si="1"/>
        <v>has gmail</v>
      </c>
      <c r="H4" t="str">
        <f t="shared" si="2"/>
        <v>has gmail</v>
      </c>
    </row>
    <row r="5" spans="1:8">
      <c r="A5" t="s">
        <v>220</v>
      </c>
      <c r="B5" t="s">
        <v>41</v>
      </c>
      <c r="C5" t="s">
        <v>221</v>
      </c>
      <c r="D5" t="s">
        <v>222</v>
      </c>
      <c r="E5" t="s">
        <v>223</v>
      </c>
      <c r="F5" t="e">
        <f t="shared" si="0"/>
        <v>#VALUE!</v>
      </c>
      <c r="G5" t="str">
        <f t="shared" si="1"/>
        <v>dont have gamil</v>
      </c>
      <c r="H5" t="str">
        <f t="shared" si="2"/>
        <v>dont have gmail</v>
      </c>
    </row>
    <row r="6" spans="1:8">
      <c r="A6" t="s">
        <v>224</v>
      </c>
      <c r="B6" t="s">
        <v>49</v>
      </c>
      <c r="C6" t="s">
        <v>225</v>
      </c>
      <c r="D6" t="s">
        <v>226</v>
      </c>
      <c r="E6" t="s">
        <v>227</v>
      </c>
      <c r="F6">
        <f t="shared" si="0"/>
        <v>1</v>
      </c>
      <c r="G6" t="str">
        <f t="shared" si="1"/>
        <v>has gmail</v>
      </c>
      <c r="H6" t="str">
        <f t="shared" si="2"/>
        <v>has gmail</v>
      </c>
    </row>
    <row r="7" spans="1:8">
      <c r="A7" t="s">
        <v>228</v>
      </c>
      <c r="B7" t="s">
        <v>56</v>
      </c>
      <c r="C7" t="s">
        <v>229</v>
      </c>
      <c r="D7" t="s">
        <v>230</v>
      </c>
      <c r="E7" t="s">
        <v>231</v>
      </c>
      <c r="F7" t="e">
        <f t="shared" si="0"/>
        <v>#VALUE!</v>
      </c>
      <c r="G7" t="str">
        <f t="shared" si="1"/>
        <v>dont have gamil</v>
      </c>
      <c r="H7" t="str">
        <f t="shared" si="2"/>
        <v>dont have gmail</v>
      </c>
    </row>
    <row r="8" spans="1:8">
      <c r="A8" t="s">
        <v>232</v>
      </c>
      <c r="B8" t="s">
        <v>64</v>
      </c>
      <c r="C8" t="s">
        <v>233</v>
      </c>
      <c r="D8" t="s">
        <v>234</v>
      </c>
      <c r="E8" t="s">
        <v>235</v>
      </c>
      <c r="F8">
        <f t="shared" si="0"/>
        <v>1</v>
      </c>
      <c r="G8" t="str">
        <f t="shared" si="1"/>
        <v>has gmail</v>
      </c>
      <c r="H8" t="str">
        <f t="shared" si="2"/>
        <v>has gmail</v>
      </c>
    </row>
    <row r="9" spans="1:8">
      <c r="A9" t="s">
        <v>236</v>
      </c>
      <c r="B9" t="s">
        <v>71</v>
      </c>
      <c r="C9" t="s">
        <v>237</v>
      </c>
      <c r="D9" t="s">
        <v>210</v>
      </c>
      <c r="E9" t="s">
        <v>238</v>
      </c>
      <c r="F9" t="e">
        <f t="shared" si="0"/>
        <v>#VALUE!</v>
      </c>
      <c r="G9" t="str">
        <f t="shared" si="1"/>
        <v>dont have gamil</v>
      </c>
      <c r="H9" t="str">
        <f t="shared" si="2"/>
        <v>dont have gmail</v>
      </c>
    </row>
    <row r="10" spans="1:8">
      <c r="A10" t="s">
        <v>239</v>
      </c>
      <c r="B10" t="s">
        <v>77</v>
      </c>
      <c r="C10" t="s">
        <v>240</v>
      </c>
      <c r="D10" t="s">
        <v>241</v>
      </c>
      <c r="E10" t="s">
        <v>242</v>
      </c>
      <c r="F10">
        <f t="shared" si="0"/>
        <v>1</v>
      </c>
      <c r="G10" t="str">
        <f t="shared" si="1"/>
        <v>has gmail</v>
      </c>
      <c r="H10" t="str">
        <f t="shared" si="2"/>
        <v>has gmail</v>
      </c>
    </row>
    <row r="11" spans="1:8">
      <c r="A11" t="s">
        <v>243</v>
      </c>
      <c r="B11" t="s">
        <v>84</v>
      </c>
      <c r="C11" t="s">
        <v>244</v>
      </c>
      <c r="D11" t="s">
        <v>218</v>
      </c>
      <c r="E11" t="s">
        <v>245</v>
      </c>
      <c r="F11" t="e">
        <f t="shared" si="0"/>
        <v>#VALUE!</v>
      </c>
      <c r="G11" t="str">
        <f t="shared" si="1"/>
        <v>dont have gamil</v>
      </c>
      <c r="H11" t="str">
        <f t="shared" si="2"/>
        <v>dont have gmail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3790F-F212-41C9-8933-F346C4ECFE1D}">
  <dimension ref="A1:L16"/>
  <sheetViews>
    <sheetView workbookViewId="0">
      <selection activeCell="L2" sqref="L2"/>
    </sheetView>
  </sheetViews>
  <sheetFormatPr defaultRowHeight="15"/>
  <cols>
    <col min="1" max="1" width="11" bestFit="1" customWidth="1"/>
    <col min="2" max="2" width="8.28515625" bestFit="1" customWidth="1"/>
    <col min="3" max="3" width="4.42578125" bestFit="1" customWidth="1"/>
    <col min="4" max="4" width="5.85546875" bestFit="1" customWidth="1"/>
    <col min="5" max="5" width="7.7109375" bestFit="1" customWidth="1"/>
    <col min="6" max="6" width="7.28515625" bestFit="1" customWidth="1"/>
    <col min="7" max="8" width="11.28515625" bestFit="1" customWidth="1"/>
    <col min="9" max="9" width="9.85546875" bestFit="1" customWidth="1"/>
    <col min="10" max="10" width="18.5703125" customWidth="1"/>
    <col min="11" max="11" width="18.42578125" customWidth="1"/>
  </cols>
  <sheetData>
    <row r="1" spans="1:12">
      <c r="A1" t="s">
        <v>142</v>
      </c>
      <c r="B1" t="s">
        <v>11</v>
      </c>
      <c r="C1" t="s">
        <v>143</v>
      </c>
      <c r="D1" t="s">
        <v>144</v>
      </c>
      <c r="E1" t="s">
        <v>145</v>
      </c>
      <c r="F1" t="s">
        <v>146</v>
      </c>
      <c r="G1" t="s">
        <v>147</v>
      </c>
      <c r="H1" t="s">
        <v>148</v>
      </c>
      <c r="I1" t="s">
        <v>149</v>
      </c>
    </row>
    <row r="2" spans="1:12">
      <c r="A2" t="s">
        <v>150</v>
      </c>
      <c r="B2" t="s">
        <v>151</v>
      </c>
      <c r="C2">
        <v>20</v>
      </c>
      <c r="D2">
        <v>78</v>
      </c>
      <c r="E2">
        <v>82</v>
      </c>
      <c r="F2">
        <v>74</v>
      </c>
      <c r="G2">
        <v>92</v>
      </c>
      <c r="H2" t="s">
        <v>152</v>
      </c>
      <c r="I2" t="s">
        <v>152</v>
      </c>
      <c r="J2" t="str" cm="1">
        <f t="array" ref="J2">_xlfn.IFS(D2&gt;=90,"Excellent",D2&gt;=80,"Very Good",D2&gt;=70,"Good",D2&gt;=60,"Average",D2&gt;=50,"Need Improve",D2&gt;=40,"Just Pass",D2&lt;=40,"Failed")</f>
        <v>Good</v>
      </c>
      <c r="K2" t="str">
        <f>IF(D2+E2+F2&gt;=250,"Eligible for Mains","Not Eligible")</f>
        <v>Not Eligible</v>
      </c>
      <c r="L2" t="str">
        <f>IF(OR(G2&gt;=80,H2="Yes"),"Eligible","Not Eligible")</f>
        <v>Eligible</v>
      </c>
    </row>
    <row r="3" spans="1:12">
      <c r="A3" t="s">
        <v>153</v>
      </c>
      <c r="B3" t="s">
        <v>154</v>
      </c>
      <c r="C3">
        <v>21</v>
      </c>
      <c r="D3">
        <v>65</v>
      </c>
      <c r="E3">
        <v>71</v>
      </c>
      <c r="F3">
        <v>68</v>
      </c>
      <c r="G3">
        <v>85</v>
      </c>
      <c r="H3" t="s">
        <v>152</v>
      </c>
      <c r="I3" t="s">
        <v>152</v>
      </c>
      <c r="J3" t="str" cm="1">
        <f t="array" ref="J3">_xlfn.IFS(D3&gt;=90,"Excellent",D3&gt;=80,"Very Good",D3&gt;=70,"Good",D3&gt;=60,"Average",D3&gt;=50,"Need Improve",D3&gt;=40,"Just Pass",D3&lt;=40,"Failed")</f>
        <v>Average</v>
      </c>
      <c r="K3" t="str">
        <f t="shared" ref="K3:K16" si="0">IF(D3+E3+F3&gt;=250,"Eligible for Mains","Not Eligible")</f>
        <v>Not Eligible</v>
      </c>
      <c r="L3" t="str">
        <f t="shared" ref="L3:L16" si="1">IF(OR(G3&gt;=80,H3="Yes"),"Eligible","Not Eligible")</f>
        <v>Eligible</v>
      </c>
    </row>
    <row r="4" spans="1:12">
      <c r="A4" t="s">
        <v>155</v>
      </c>
      <c r="B4" t="s">
        <v>156</v>
      </c>
      <c r="C4">
        <v>20</v>
      </c>
      <c r="D4">
        <v>45</v>
      </c>
      <c r="E4">
        <v>52</v>
      </c>
      <c r="F4">
        <v>48</v>
      </c>
      <c r="G4">
        <v>78</v>
      </c>
      <c r="H4" t="s">
        <v>152</v>
      </c>
      <c r="I4" t="s">
        <v>157</v>
      </c>
      <c r="J4" t="str" cm="1">
        <f t="array" ref="J4">_xlfn.IFS(D4&gt;=90,"Excellent",D4&gt;=80,"Very Good",D4&gt;=70,"Good",D4&gt;=60,"Average",D4&gt;=50,"Need Improve",D4&gt;=40,"Just Pass",D4&lt;=40,"Failed")</f>
        <v>Just Pass</v>
      </c>
      <c r="K4" t="str">
        <f t="shared" si="0"/>
        <v>Not Eligible</v>
      </c>
      <c r="L4" t="str">
        <f t="shared" si="1"/>
        <v>Eligible</v>
      </c>
    </row>
    <row r="5" spans="1:12">
      <c r="A5" t="s">
        <v>158</v>
      </c>
      <c r="B5" t="s">
        <v>138</v>
      </c>
      <c r="C5">
        <v>22</v>
      </c>
      <c r="D5">
        <v>88</v>
      </c>
      <c r="E5">
        <v>91</v>
      </c>
      <c r="F5">
        <v>85</v>
      </c>
      <c r="G5">
        <v>96</v>
      </c>
      <c r="H5" t="s">
        <v>152</v>
      </c>
      <c r="I5" t="s">
        <v>152</v>
      </c>
      <c r="J5" t="str" cm="1">
        <f t="array" ref="J5">_xlfn.IFS(D5&gt;=90,"Excellent",D5&gt;=80,"Very Good",D5&gt;=70,"Good",D5&gt;=60,"Average",D5&gt;=50,"Need Improve",D5&gt;=40,"Just Pass",D5&lt;=40,"Failed")</f>
        <v>Very Good</v>
      </c>
      <c r="K5" t="str">
        <f t="shared" si="0"/>
        <v>Eligible for Mains</v>
      </c>
      <c r="L5" t="str">
        <f t="shared" si="1"/>
        <v>Eligible</v>
      </c>
    </row>
    <row r="6" spans="1:12">
      <c r="A6" t="s">
        <v>159</v>
      </c>
      <c r="B6" t="s">
        <v>160</v>
      </c>
      <c r="C6">
        <v>21</v>
      </c>
      <c r="D6">
        <v>55</v>
      </c>
      <c r="E6">
        <v>61</v>
      </c>
      <c r="F6">
        <v>58</v>
      </c>
      <c r="G6">
        <v>72</v>
      </c>
      <c r="H6" t="s">
        <v>157</v>
      </c>
      <c r="I6" t="s">
        <v>152</v>
      </c>
      <c r="J6" t="str" cm="1">
        <f t="array" ref="J6">_xlfn.IFS(D6&gt;=90,"Excellent",D6&gt;=80,"Very Good",D6&gt;=70,"Good",D6&gt;=60,"Average",D6&gt;=50,"Need Improve",D6&gt;=40,"Just Pass",D6&lt;=40,"Failed")</f>
        <v>Need Improve</v>
      </c>
      <c r="K6" t="str">
        <f t="shared" si="0"/>
        <v>Not Eligible</v>
      </c>
      <c r="L6" t="str">
        <f t="shared" si="1"/>
        <v>Not Eligible</v>
      </c>
    </row>
    <row r="7" spans="1:12">
      <c r="A7" t="s">
        <v>161</v>
      </c>
      <c r="B7" t="s">
        <v>162</v>
      </c>
      <c r="C7">
        <v>20</v>
      </c>
      <c r="D7">
        <v>92</v>
      </c>
      <c r="E7">
        <v>89</v>
      </c>
      <c r="F7">
        <v>95</v>
      </c>
      <c r="G7">
        <v>98</v>
      </c>
      <c r="H7" t="s">
        <v>152</v>
      </c>
      <c r="I7" t="s">
        <v>152</v>
      </c>
      <c r="J7" t="str" cm="1">
        <f t="array" ref="J7">_xlfn.IFS(D7&gt;=90,"Excellent",D7&gt;=80,"Very Good",D7&gt;=70,"Good",D7&gt;=60,"Average",D7&gt;=50,"Need Improve",D7&gt;=40,"Just Pass",D7&lt;=40,"Failed")</f>
        <v>Excellent</v>
      </c>
      <c r="K7" t="str">
        <f t="shared" si="0"/>
        <v>Eligible for Mains</v>
      </c>
      <c r="L7" t="str">
        <f t="shared" si="1"/>
        <v>Eligible</v>
      </c>
    </row>
    <row r="8" spans="1:12">
      <c r="A8" t="s">
        <v>163</v>
      </c>
      <c r="B8" t="s">
        <v>164</v>
      </c>
      <c r="C8">
        <v>23</v>
      </c>
      <c r="D8">
        <v>38</v>
      </c>
      <c r="E8">
        <v>44</v>
      </c>
      <c r="F8">
        <v>51</v>
      </c>
      <c r="G8">
        <v>65</v>
      </c>
      <c r="H8" t="s">
        <v>157</v>
      </c>
      <c r="I8" t="s">
        <v>157</v>
      </c>
      <c r="J8" t="str" cm="1">
        <f t="array" ref="J8">_xlfn.IFS(D8&gt;=90,"Excellent",D8&gt;=80,"Very Good",D8&gt;=70,"Good",D8&gt;=60,"Average",D8&gt;=50,"Need Improve",D8&gt;=40,"Just Pass",D8&lt;=40,"Failed")</f>
        <v>Failed</v>
      </c>
      <c r="K8" t="str">
        <f t="shared" si="0"/>
        <v>Not Eligible</v>
      </c>
      <c r="L8" t="str">
        <f t="shared" si="1"/>
        <v>Not Eligible</v>
      </c>
    </row>
    <row r="9" spans="1:12">
      <c r="A9" t="s">
        <v>165</v>
      </c>
      <c r="B9" t="s">
        <v>133</v>
      </c>
      <c r="C9">
        <v>21</v>
      </c>
      <c r="D9">
        <v>76</v>
      </c>
      <c r="E9">
        <v>69</v>
      </c>
      <c r="F9">
        <v>81</v>
      </c>
      <c r="G9">
        <v>88</v>
      </c>
      <c r="H9" t="s">
        <v>152</v>
      </c>
      <c r="I9" t="s">
        <v>152</v>
      </c>
      <c r="J9" t="str" cm="1">
        <f t="array" ref="J9">_xlfn.IFS(D9&gt;=90,"Excellent",D9&gt;=80,"Very Good",D9&gt;=70,"Good",D9&gt;=60,"Average",D9&gt;=50,"Need Improve",D9&gt;=40,"Just Pass",D9&lt;=40,"Failed")</f>
        <v>Good</v>
      </c>
      <c r="K9" t="str">
        <f t="shared" si="0"/>
        <v>Not Eligible</v>
      </c>
      <c r="L9" t="str">
        <f t="shared" si="1"/>
        <v>Eligible</v>
      </c>
    </row>
    <row r="10" spans="1:12">
      <c r="A10" t="s">
        <v>166</v>
      </c>
      <c r="B10" t="s">
        <v>167</v>
      </c>
      <c r="C10">
        <v>22</v>
      </c>
      <c r="D10">
        <v>59</v>
      </c>
      <c r="E10">
        <v>63</v>
      </c>
      <c r="F10">
        <v>55</v>
      </c>
      <c r="G10">
        <v>80</v>
      </c>
      <c r="H10" t="s">
        <v>152</v>
      </c>
      <c r="I10" t="s">
        <v>157</v>
      </c>
      <c r="J10" t="str" cm="1">
        <f t="array" ref="J10">_xlfn.IFS(D10&gt;=90,"Excellent",D10&gt;=80,"Very Good",D10&gt;=70,"Good",D10&gt;=60,"Average",D10&gt;=50,"Need Improve",D10&gt;=40,"Just Pass",D10&lt;=40,"Failed")</f>
        <v>Need Improve</v>
      </c>
      <c r="K10" t="str">
        <f t="shared" si="0"/>
        <v>Not Eligible</v>
      </c>
      <c r="L10" t="str">
        <f t="shared" si="1"/>
        <v>Eligible</v>
      </c>
    </row>
    <row r="11" spans="1:12">
      <c r="A11" t="s">
        <v>168</v>
      </c>
      <c r="B11" t="s">
        <v>169</v>
      </c>
      <c r="C11">
        <v>20</v>
      </c>
      <c r="D11">
        <v>84</v>
      </c>
      <c r="E11">
        <v>79</v>
      </c>
      <c r="F11">
        <v>87</v>
      </c>
      <c r="G11">
        <v>94</v>
      </c>
      <c r="H11" t="s">
        <v>152</v>
      </c>
      <c r="I11" t="s">
        <v>152</v>
      </c>
      <c r="J11" t="str" cm="1">
        <f t="array" ref="J11">_xlfn.IFS(D11&gt;=90,"Excellent",D11&gt;=80,"Very Good",D11&gt;=70,"Good",D11&gt;=60,"Average",D11&gt;=50,"Need Improve",D11&gt;=40,"Just Pass",D11&lt;=40,"Failed")</f>
        <v>Very Good</v>
      </c>
      <c r="K11" t="str">
        <f t="shared" si="0"/>
        <v>Eligible for Mains</v>
      </c>
      <c r="L11" t="str">
        <f t="shared" si="1"/>
        <v>Eligible</v>
      </c>
    </row>
    <row r="12" spans="1:12">
      <c r="A12" t="s">
        <v>170</v>
      </c>
      <c r="B12" t="s">
        <v>171</v>
      </c>
      <c r="C12">
        <v>21</v>
      </c>
      <c r="D12">
        <v>49</v>
      </c>
      <c r="E12">
        <v>57</v>
      </c>
      <c r="F12">
        <v>62</v>
      </c>
      <c r="G12">
        <v>76</v>
      </c>
      <c r="H12" t="s">
        <v>157</v>
      </c>
      <c r="I12" t="s">
        <v>152</v>
      </c>
      <c r="J12" t="str" cm="1">
        <f t="array" ref="J12">_xlfn.IFS(D12&gt;=90,"Excellent",D12&gt;=80,"Very Good",D12&gt;=70,"Good",D12&gt;=60,"Average",D12&gt;=50,"Need Improve",D12&gt;=40,"Just Pass",D12&lt;=40,"Failed")</f>
        <v>Just Pass</v>
      </c>
      <c r="K12" t="str">
        <f t="shared" si="0"/>
        <v>Not Eligible</v>
      </c>
      <c r="L12" t="str">
        <f t="shared" si="1"/>
        <v>Not Eligible</v>
      </c>
    </row>
    <row r="13" spans="1:12">
      <c r="A13" t="s">
        <v>172</v>
      </c>
      <c r="B13" t="s">
        <v>173</v>
      </c>
      <c r="C13">
        <v>22</v>
      </c>
      <c r="D13">
        <v>71</v>
      </c>
      <c r="E13">
        <v>75</v>
      </c>
      <c r="F13">
        <v>69</v>
      </c>
      <c r="G13">
        <v>89</v>
      </c>
      <c r="H13" t="s">
        <v>152</v>
      </c>
      <c r="I13" t="s">
        <v>152</v>
      </c>
      <c r="J13" t="str" cm="1">
        <f t="array" ref="J13">_xlfn.IFS(D13&gt;=90,"Excellent",D13&gt;=80,"Very Good",D13&gt;=70,"Good",D13&gt;=60,"Average",D13&gt;=50,"Need Improve",D13&gt;=40,"Just Pass",D13&lt;=40,"Failed")</f>
        <v>Good</v>
      </c>
      <c r="K13" t="str">
        <f t="shared" si="0"/>
        <v>Not Eligible</v>
      </c>
      <c r="L13" t="str">
        <f t="shared" si="1"/>
        <v>Eligible</v>
      </c>
    </row>
    <row r="14" spans="1:12">
      <c r="A14" t="s">
        <v>174</v>
      </c>
      <c r="B14" t="s">
        <v>134</v>
      </c>
      <c r="C14">
        <v>20</v>
      </c>
      <c r="D14">
        <v>33</v>
      </c>
      <c r="E14">
        <v>41</v>
      </c>
      <c r="F14">
        <v>45</v>
      </c>
      <c r="G14">
        <v>61</v>
      </c>
      <c r="H14" t="s">
        <v>157</v>
      </c>
      <c r="I14" t="s">
        <v>157</v>
      </c>
      <c r="J14" t="str" cm="1">
        <f t="array" ref="J14">_xlfn.IFS(D14&gt;=90,"Excellent",D14&gt;=80,"Very Good",D14&gt;=70,"Good",D14&gt;=60,"Average",D14&gt;=50,"Need Improve",D14&gt;=40,"Just Pass",D14&lt;=40,"Failed")</f>
        <v>Failed</v>
      </c>
      <c r="K14" t="str">
        <f t="shared" si="0"/>
        <v>Not Eligible</v>
      </c>
      <c r="L14" t="str">
        <f t="shared" si="1"/>
        <v>Not Eligible</v>
      </c>
    </row>
    <row r="15" spans="1:12">
      <c r="A15" t="s">
        <v>175</v>
      </c>
      <c r="B15" t="s">
        <v>141</v>
      </c>
      <c r="C15">
        <v>21</v>
      </c>
      <c r="D15">
        <v>90</v>
      </c>
      <c r="E15">
        <v>94</v>
      </c>
      <c r="F15">
        <v>88</v>
      </c>
      <c r="G15">
        <v>97</v>
      </c>
      <c r="H15" t="s">
        <v>152</v>
      </c>
      <c r="I15" t="s">
        <v>152</v>
      </c>
      <c r="J15" t="str" cm="1">
        <f t="array" ref="J15">_xlfn.IFS(D15&gt;=90,"Excellent",D15&gt;=80,"Very Good",D15&gt;=70,"Good",D15&gt;=60,"Average",D15&gt;=50,"Need Improve",D15&gt;=40,"Just Pass",D15&lt;=40,"Failed")</f>
        <v>Excellent</v>
      </c>
      <c r="K15" t="str">
        <f t="shared" si="0"/>
        <v>Eligible for Mains</v>
      </c>
      <c r="L15" t="str">
        <f t="shared" si="1"/>
        <v>Eligible</v>
      </c>
    </row>
    <row r="16" spans="1:12">
      <c r="A16" t="s">
        <v>176</v>
      </c>
      <c r="B16" t="s">
        <v>177</v>
      </c>
      <c r="C16">
        <v>23</v>
      </c>
      <c r="D16">
        <v>67</v>
      </c>
      <c r="E16">
        <v>58</v>
      </c>
      <c r="F16">
        <v>72</v>
      </c>
      <c r="G16">
        <v>83</v>
      </c>
      <c r="H16" t="s">
        <v>152</v>
      </c>
      <c r="I16" t="s">
        <v>152</v>
      </c>
      <c r="J16" t="str" cm="1">
        <f t="array" ref="J16">_xlfn.IFS(D16&gt;=90,"Excellent",D16&gt;=80,"Very Good",D16&gt;=70,"Good",D16&gt;=60,"Average",D16&gt;=50,"Need Improve",D16&gt;=40,"Just Pass",D16&lt;=40,"Failed")</f>
        <v>Average</v>
      </c>
      <c r="K16" t="str">
        <f t="shared" si="0"/>
        <v>Not Eligible</v>
      </c>
      <c r="L16" t="str">
        <f t="shared" si="1"/>
        <v>Eligible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F1405-CDAF-4DC7-82AE-437535E76782}">
  <dimension ref="A1:G44"/>
  <sheetViews>
    <sheetView topLeftCell="A94" workbookViewId="0">
      <selection activeCell="G44" sqref="G44"/>
    </sheetView>
  </sheetViews>
  <sheetFormatPr defaultRowHeight="15"/>
  <sheetData>
    <row r="1" spans="1:7">
      <c r="A1" t="s">
        <v>129</v>
      </c>
      <c r="B1" t="s">
        <v>130</v>
      </c>
    </row>
    <row r="2" spans="1:7">
      <c r="A2" t="s">
        <v>129</v>
      </c>
      <c r="B2">
        <v>78</v>
      </c>
    </row>
    <row r="3" spans="1:7">
      <c r="A3" t="s">
        <v>129</v>
      </c>
      <c r="B3">
        <v>92</v>
      </c>
      <c r="D3">
        <f>COUNTIF(B2:B11,"&gt;75")</f>
        <v>3</v>
      </c>
      <c r="F3" t="s">
        <v>246</v>
      </c>
      <c r="G3" t="s">
        <v>247</v>
      </c>
    </row>
    <row r="4" spans="1:7">
      <c r="A4" t="s">
        <v>129</v>
      </c>
      <c r="B4">
        <v>35</v>
      </c>
      <c r="D4">
        <f>SUMIF(B2:B11,"&gt;40",B2:B11)</f>
        <v>454</v>
      </c>
      <c r="F4" t="s">
        <v>248</v>
      </c>
      <c r="G4">
        <f>COUNTIF(B2:B11,G3)</f>
        <v>3</v>
      </c>
    </row>
    <row r="5" spans="1:7">
      <c r="A5" t="s">
        <v>129</v>
      </c>
      <c r="B5">
        <v>67</v>
      </c>
      <c r="D5">
        <f>AVERAGEIF(B2:B11,"&gt;40",B2:B11)</f>
        <v>75.666666666666671</v>
      </c>
    </row>
    <row r="6" spans="1:7">
      <c r="A6" t="s">
        <v>129</v>
      </c>
      <c r="B6">
        <v>40</v>
      </c>
      <c r="F6" t="s">
        <v>249</v>
      </c>
      <c r="G6" t="s">
        <v>250</v>
      </c>
    </row>
    <row r="7" spans="1:7">
      <c r="A7" t="s">
        <v>129</v>
      </c>
      <c r="B7">
        <v>29</v>
      </c>
      <c r="F7" t="s">
        <v>251</v>
      </c>
      <c r="G7">
        <f>SUMIF(B2:B11,G6,B2:B11)</f>
        <v>331</v>
      </c>
    </row>
    <row r="8" spans="1:7">
      <c r="A8" t="s">
        <v>129</v>
      </c>
      <c r="B8">
        <v>88</v>
      </c>
    </row>
    <row r="9" spans="1:7">
      <c r="A9" t="s">
        <v>139</v>
      </c>
      <c r="B9">
        <v>56</v>
      </c>
    </row>
    <row r="10" spans="1:7">
      <c r="A10" t="s">
        <v>140</v>
      </c>
      <c r="B10">
        <v>39</v>
      </c>
    </row>
    <row r="11" spans="1:7">
      <c r="A11" t="s">
        <v>141</v>
      </c>
      <c r="B11">
        <v>73</v>
      </c>
    </row>
    <row r="15" spans="1:7">
      <c r="A15" t="s">
        <v>129</v>
      </c>
      <c r="B15" t="s">
        <v>130</v>
      </c>
      <c r="C15" t="s">
        <v>252</v>
      </c>
    </row>
    <row r="16" spans="1:7">
      <c r="A16" t="s">
        <v>132</v>
      </c>
      <c r="B16">
        <v>78</v>
      </c>
      <c r="C16" t="s">
        <v>253</v>
      </c>
    </row>
    <row r="17" spans="1:7">
      <c r="A17" t="s">
        <v>133</v>
      </c>
      <c r="B17">
        <v>92</v>
      </c>
      <c r="C17" t="s">
        <v>254</v>
      </c>
    </row>
    <row r="18" spans="1:7">
      <c r="A18" t="s">
        <v>134</v>
      </c>
      <c r="B18">
        <v>35</v>
      </c>
      <c r="C18" t="s">
        <v>253</v>
      </c>
      <c r="F18" t="s">
        <v>130</v>
      </c>
      <c r="G18" t="s">
        <v>255</v>
      </c>
    </row>
    <row r="19" spans="1:7">
      <c r="A19" t="s">
        <v>135</v>
      </c>
      <c r="B19">
        <v>67</v>
      </c>
      <c r="C19" t="s">
        <v>254</v>
      </c>
      <c r="F19" t="s">
        <v>252</v>
      </c>
      <c r="G19" t="s">
        <v>254</v>
      </c>
    </row>
    <row r="20" spans="1:7">
      <c r="A20" t="s">
        <v>136</v>
      </c>
      <c r="B20">
        <v>40</v>
      </c>
      <c r="C20" t="s">
        <v>253</v>
      </c>
      <c r="F20" t="s">
        <v>256</v>
      </c>
      <c r="G20">
        <f>COUNTIFS(B16:B25,G18,C16:C25,G19)</f>
        <v>4</v>
      </c>
    </row>
    <row r="21" spans="1:7">
      <c r="A21" t="s">
        <v>137</v>
      </c>
      <c r="B21">
        <v>29</v>
      </c>
      <c r="C21" t="s">
        <v>254</v>
      </c>
    </row>
    <row r="22" spans="1:7">
      <c r="A22" t="s">
        <v>138</v>
      </c>
      <c r="B22">
        <v>88</v>
      </c>
      <c r="C22" t="s">
        <v>253</v>
      </c>
    </row>
    <row r="23" spans="1:7">
      <c r="A23" t="s">
        <v>139</v>
      </c>
      <c r="B23">
        <v>56</v>
      </c>
      <c r="C23" t="s">
        <v>254</v>
      </c>
    </row>
    <row r="24" spans="1:7">
      <c r="A24" t="s">
        <v>140</v>
      </c>
      <c r="B24">
        <v>39</v>
      </c>
      <c r="C24" t="s">
        <v>253</v>
      </c>
      <c r="F24" t="s">
        <v>130</v>
      </c>
      <c r="G24" t="s">
        <v>255</v>
      </c>
    </row>
    <row r="25" spans="1:7">
      <c r="A25" t="s">
        <v>141</v>
      </c>
      <c r="B25">
        <v>73</v>
      </c>
      <c r="C25" t="s">
        <v>254</v>
      </c>
      <c r="F25" t="s">
        <v>252</v>
      </c>
      <c r="G25" t="s">
        <v>254</v>
      </c>
    </row>
    <row r="26" spans="1:7">
      <c r="F26" t="s">
        <v>257</v>
      </c>
      <c r="G26">
        <f>SUMIFS(B16:B25,B16:B25,G24,C16:C25,G25)</f>
        <v>288</v>
      </c>
    </row>
    <row r="34" spans="1:7">
      <c r="A34" t="s">
        <v>129</v>
      </c>
      <c r="B34" t="s">
        <v>130</v>
      </c>
    </row>
    <row r="35" spans="1:7">
      <c r="A35" t="s">
        <v>129</v>
      </c>
      <c r="B35">
        <v>78</v>
      </c>
    </row>
    <row r="36" spans="1:7">
      <c r="A36" t="s">
        <v>129</v>
      </c>
      <c r="B36">
        <v>92</v>
      </c>
    </row>
    <row r="37" spans="1:7">
      <c r="A37" t="s">
        <v>129</v>
      </c>
      <c r="B37">
        <v>35</v>
      </c>
      <c r="F37" t="s">
        <v>249</v>
      </c>
    </row>
    <row r="38" spans="1:7">
      <c r="A38" t="s">
        <v>129</v>
      </c>
      <c r="B38">
        <v>67</v>
      </c>
      <c r="D38">
        <f>COUNTIF(B35:B44,"&gt;75")</f>
        <v>3</v>
      </c>
      <c r="F38" t="s">
        <v>256</v>
      </c>
      <c r="G38">
        <f>COUNTIF(B35:B44,G37)</f>
        <v>0</v>
      </c>
    </row>
    <row r="39" spans="1:7">
      <c r="A39" t="s">
        <v>129</v>
      </c>
      <c r="B39">
        <v>40</v>
      </c>
      <c r="D39">
        <f>SUMIF(B35:B44,"&gt;25",B35:B44)</f>
        <v>597</v>
      </c>
    </row>
    <row r="40" spans="1:7">
      <c r="A40" t="s">
        <v>129</v>
      </c>
      <c r="B40">
        <v>29</v>
      </c>
      <c r="D40">
        <f>AVERAGEIF(B35:B44,"&gt;50",B35:B44)</f>
        <v>75.666666666666671</v>
      </c>
    </row>
    <row r="41" spans="1:7">
      <c r="A41" t="s">
        <v>129</v>
      </c>
      <c r="B41">
        <v>88</v>
      </c>
      <c r="F41" t="s">
        <v>249</v>
      </c>
      <c r="G41" t="s">
        <v>247</v>
      </c>
    </row>
    <row r="42" spans="1:7">
      <c r="A42" t="s">
        <v>139</v>
      </c>
      <c r="B42">
        <v>56</v>
      </c>
      <c r="F42" t="s">
        <v>257</v>
      </c>
      <c r="G42">
        <f>SUMIF(B35:B44,G41,B35:B44)</f>
        <v>258</v>
      </c>
    </row>
    <row r="43" spans="1:7">
      <c r="A43" t="s">
        <v>140</v>
      </c>
      <c r="B43">
        <v>39</v>
      </c>
    </row>
    <row r="44" spans="1:7">
      <c r="A44" t="s">
        <v>141</v>
      </c>
      <c r="B44">
        <v>73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88B3C-15F6-4023-9815-0678E85FDA88}">
  <dimension ref="A1:Q31"/>
  <sheetViews>
    <sheetView workbookViewId="0">
      <selection activeCell="N9" sqref="N9"/>
    </sheetView>
  </sheetViews>
  <sheetFormatPr defaultRowHeight="15"/>
  <cols>
    <col min="2" max="2" width="11.42578125" bestFit="1" customWidth="1"/>
    <col min="3" max="3" width="11.5703125" bestFit="1" customWidth="1"/>
    <col min="4" max="4" width="7.140625" bestFit="1" customWidth="1"/>
    <col min="5" max="5" width="9.42578125" bestFit="1" customWidth="1"/>
    <col min="6" max="6" width="11.140625" bestFit="1" customWidth="1"/>
    <col min="7" max="7" width="8.7109375" bestFit="1" customWidth="1"/>
    <col min="8" max="8" width="10.28515625" bestFit="1" customWidth="1"/>
    <col min="9" max="9" width="11" bestFit="1" customWidth="1"/>
    <col min="10" max="10" width="15.42578125" bestFit="1" customWidth="1"/>
    <col min="13" max="13" width="13.7109375" customWidth="1"/>
  </cols>
  <sheetData>
    <row r="1" spans="1:17">
      <c r="A1" t="s">
        <v>258</v>
      </c>
      <c r="B1" t="s">
        <v>259</v>
      </c>
      <c r="C1" t="s">
        <v>260</v>
      </c>
      <c r="D1" t="s">
        <v>261</v>
      </c>
      <c r="E1" t="s">
        <v>262</v>
      </c>
      <c r="F1" t="s">
        <v>263</v>
      </c>
      <c r="G1" t="s">
        <v>264</v>
      </c>
      <c r="H1" t="s">
        <v>265</v>
      </c>
      <c r="I1" t="s">
        <v>266</v>
      </c>
      <c r="J1" t="s">
        <v>267</v>
      </c>
    </row>
    <row r="2" spans="1:17">
      <c r="A2" t="s">
        <v>268</v>
      </c>
      <c r="B2" s="1">
        <v>45778</v>
      </c>
      <c r="C2" t="s">
        <v>151</v>
      </c>
      <c r="D2" t="s">
        <v>269</v>
      </c>
      <c r="E2" t="s">
        <v>270</v>
      </c>
      <c r="F2" t="s">
        <v>271</v>
      </c>
      <c r="G2">
        <v>2</v>
      </c>
      <c r="H2">
        <v>55000</v>
      </c>
      <c r="I2">
        <v>110000</v>
      </c>
      <c r="J2" t="s">
        <v>272</v>
      </c>
    </row>
    <row r="3" spans="1:17">
      <c r="A3" t="s">
        <v>273</v>
      </c>
      <c r="B3" s="1">
        <v>45870</v>
      </c>
      <c r="C3" t="s">
        <v>154</v>
      </c>
      <c r="D3" t="s">
        <v>274</v>
      </c>
      <c r="E3" t="s">
        <v>275</v>
      </c>
      <c r="F3" t="s">
        <v>276</v>
      </c>
      <c r="G3">
        <v>5</v>
      </c>
      <c r="H3">
        <v>2500</v>
      </c>
      <c r="I3">
        <v>12500</v>
      </c>
      <c r="J3" t="s">
        <v>272</v>
      </c>
    </row>
    <row r="4" spans="1:17">
      <c r="A4" t="s">
        <v>277</v>
      </c>
      <c r="B4" s="1">
        <v>45992</v>
      </c>
      <c r="C4" t="s">
        <v>156</v>
      </c>
      <c r="D4" t="s">
        <v>278</v>
      </c>
      <c r="E4" t="s">
        <v>279</v>
      </c>
      <c r="F4" t="s">
        <v>271</v>
      </c>
      <c r="G4">
        <v>3</v>
      </c>
      <c r="H4">
        <v>18000</v>
      </c>
      <c r="I4">
        <v>54000</v>
      </c>
      <c r="J4" t="s">
        <v>280</v>
      </c>
    </row>
    <row r="5" spans="1:17">
      <c r="A5" t="s">
        <v>281</v>
      </c>
      <c r="B5" t="s">
        <v>282</v>
      </c>
      <c r="C5" t="s">
        <v>138</v>
      </c>
      <c r="D5" t="s">
        <v>283</v>
      </c>
      <c r="E5" t="s">
        <v>284</v>
      </c>
      <c r="F5" t="s">
        <v>276</v>
      </c>
      <c r="G5">
        <v>10</v>
      </c>
      <c r="H5">
        <v>1200</v>
      </c>
      <c r="I5">
        <v>12000</v>
      </c>
      <c r="J5" t="s">
        <v>272</v>
      </c>
    </row>
    <row r="6" spans="1:17">
      <c r="A6" t="s">
        <v>285</v>
      </c>
      <c r="B6" t="s">
        <v>286</v>
      </c>
      <c r="C6" t="s">
        <v>160</v>
      </c>
      <c r="D6" t="s">
        <v>274</v>
      </c>
      <c r="E6" t="s">
        <v>270</v>
      </c>
      <c r="F6" t="s">
        <v>271</v>
      </c>
      <c r="G6">
        <v>1</v>
      </c>
      <c r="H6">
        <v>55000</v>
      </c>
      <c r="I6">
        <v>55000</v>
      </c>
      <c r="J6" t="s">
        <v>272</v>
      </c>
    </row>
    <row r="7" spans="1:17">
      <c r="A7" t="s">
        <v>287</v>
      </c>
      <c r="B7" s="1">
        <v>45718</v>
      </c>
      <c r="C7" t="s">
        <v>162</v>
      </c>
      <c r="D7" t="s">
        <v>269</v>
      </c>
      <c r="E7" t="s">
        <v>288</v>
      </c>
      <c r="F7" t="s">
        <v>289</v>
      </c>
      <c r="G7">
        <v>2</v>
      </c>
      <c r="H7">
        <v>15000</v>
      </c>
      <c r="I7">
        <v>30000</v>
      </c>
      <c r="J7" t="s">
        <v>280</v>
      </c>
    </row>
    <row r="8" spans="1:17">
      <c r="A8" t="s">
        <v>290</v>
      </c>
      <c r="B8" s="1">
        <v>45932</v>
      </c>
      <c r="C8" t="s">
        <v>164</v>
      </c>
      <c r="D8" t="s">
        <v>278</v>
      </c>
      <c r="E8" t="s">
        <v>270</v>
      </c>
      <c r="F8" t="s">
        <v>271</v>
      </c>
      <c r="G8">
        <v>3</v>
      </c>
      <c r="H8">
        <v>55000</v>
      </c>
      <c r="I8">
        <v>165000</v>
      </c>
      <c r="J8" t="s">
        <v>272</v>
      </c>
      <c r="M8" t="s">
        <v>291</v>
      </c>
      <c r="N8" t="s">
        <v>292</v>
      </c>
      <c r="P8" t="s">
        <v>261</v>
      </c>
      <c r="Q8" t="s">
        <v>283</v>
      </c>
    </row>
    <row r="9" spans="1:17">
      <c r="A9" t="s">
        <v>293</v>
      </c>
      <c r="B9" t="s">
        <v>294</v>
      </c>
      <c r="C9" t="s">
        <v>133</v>
      </c>
      <c r="D9" t="s">
        <v>283</v>
      </c>
      <c r="E9" t="s">
        <v>275</v>
      </c>
      <c r="F9" t="s">
        <v>276</v>
      </c>
      <c r="G9">
        <v>8</v>
      </c>
      <c r="H9">
        <v>2500</v>
      </c>
      <c r="I9">
        <v>20000</v>
      </c>
      <c r="J9" t="s">
        <v>272</v>
      </c>
      <c r="M9" t="s">
        <v>256</v>
      </c>
      <c r="N9">
        <f>COUNTIF(J2:J31,N8)</f>
        <v>10</v>
      </c>
      <c r="P9" t="s">
        <v>263</v>
      </c>
      <c r="Q9" t="s">
        <v>276</v>
      </c>
    </row>
    <row r="10" spans="1:17">
      <c r="A10" t="s">
        <v>295</v>
      </c>
      <c r="B10" t="s">
        <v>296</v>
      </c>
      <c r="C10" t="s">
        <v>167</v>
      </c>
      <c r="D10" t="s">
        <v>274</v>
      </c>
      <c r="E10" t="s">
        <v>279</v>
      </c>
      <c r="F10" t="s">
        <v>271</v>
      </c>
      <c r="G10">
        <v>4</v>
      </c>
      <c r="H10">
        <v>18000</v>
      </c>
      <c r="I10">
        <v>72000</v>
      </c>
      <c r="J10" t="s">
        <v>280</v>
      </c>
      <c r="P10" t="s">
        <v>256</v>
      </c>
      <c r="Q10">
        <f>COUNTIFS(D2:D31,Q8,F2:F31,Q9)</f>
        <v>4</v>
      </c>
    </row>
    <row r="11" spans="1:17">
      <c r="A11" t="s">
        <v>297</v>
      </c>
      <c r="B11" t="s">
        <v>298</v>
      </c>
      <c r="C11" t="s">
        <v>169</v>
      </c>
      <c r="D11" t="s">
        <v>269</v>
      </c>
      <c r="E11" t="s">
        <v>284</v>
      </c>
      <c r="F11" t="s">
        <v>276</v>
      </c>
      <c r="G11">
        <v>15</v>
      </c>
      <c r="H11">
        <v>1200</v>
      </c>
      <c r="I11">
        <v>18000</v>
      </c>
      <c r="J11" t="s">
        <v>272</v>
      </c>
      <c r="M11" t="s">
        <v>299</v>
      </c>
      <c r="N11" t="s">
        <v>156</v>
      </c>
    </row>
    <row r="12" spans="1:17">
      <c r="A12" t="s">
        <v>300</v>
      </c>
      <c r="B12" s="1">
        <v>45780</v>
      </c>
      <c r="C12" t="s">
        <v>171</v>
      </c>
      <c r="D12" t="s">
        <v>278</v>
      </c>
      <c r="E12" t="s">
        <v>288</v>
      </c>
      <c r="F12" t="s">
        <v>289</v>
      </c>
      <c r="G12">
        <v>3</v>
      </c>
      <c r="H12">
        <v>15000</v>
      </c>
      <c r="I12">
        <v>45000</v>
      </c>
      <c r="J12" t="s">
        <v>272</v>
      </c>
      <c r="M12" t="s">
        <v>301</v>
      </c>
      <c r="N12">
        <f>SUMIF(C2:C31,N11,I2:I31)</f>
        <v>68400</v>
      </c>
      <c r="P12" t="s">
        <v>261</v>
      </c>
      <c r="Q12" t="s">
        <v>283</v>
      </c>
    </row>
    <row r="13" spans="1:17">
      <c r="A13" t="s">
        <v>302</v>
      </c>
      <c r="B13" s="1">
        <v>45994</v>
      </c>
      <c r="C13" t="s">
        <v>173</v>
      </c>
      <c r="D13" t="s">
        <v>283</v>
      </c>
      <c r="E13" t="s">
        <v>270</v>
      </c>
      <c r="F13" t="s">
        <v>271</v>
      </c>
      <c r="G13">
        <v>2</v>
      </c>
      <c r="H13">
        <v>55000</v>
      </c>
      <c r="I13">
        <v>110000</v>
      </c>
      <c r="J13" t="s">
        <v>280</v>
      </c>
      <c r="P13" t="s">
        <v>263</v>
      </c>
      <c r="Q13" t="s">
        <v>276</v>
      </c>
    </row>
    <row r="14" spans="1:17">
      <c r="A14" t="s">
        <v>303</v>
      </c>
      <c r="B14" t="s">
        <v>304</v>
      </c>
      <c r="C14" t="s">
        <v>134</v>
      </c>
      <c r="D14" t="s">
        <v>274</v>
      </c>
      <c r="E14" t="s">
        <v>284</v>
      </c>
      <c r="F14" t="s">
        <v>276</v>
      </c>
      <c r="G14">
        <v>20</v>
      </c>
      <c r="H14">
        <v>1200</v>
      </c>
      <c r="I14">
        <v>24000</v>
      </c>
      <c r="J14" t="s">
        <v>272</v>
      </c>
      <c r="P14" t="s">
        <v>301</v>
      </c>
      <c r="Q14">
        <f>SUMIFS(I2:I31,D2:D31,Q12,F2:F31,Q13)</f>
        <v>66300</v>
      </c>
    </row>
    <row r="15" spans="1:17">
      <c r="A15" t="s">
        <v>305</v>
      </c>
      <c r="B15" t="s">
        <v>306</v>
      </c>
      <c r="C15" t="s">
        <v>141</v>
      </c>
      <c r="D15" t="s">
        <v>269</v>
      </c>
      <c r="E15" t="s">
        <v>279</v>
      </c>
      <c r="F15" t="s">
        <v>271</v>
      </c>
      <c r="G15">
        <v>5</v>
      </c>
      <c r="H15">
        <v>18000</v>
      </c>
      <c r="I15">
        <v>90000</v>
      </c>
      <c r="J15" t="s">
        <v>272</v>
      </c>
    </row>
    <row r="16" spans="1:17">
      <c r="A16" t="s">
        <v>307</v>
      </c>
      <c r="B16" s="1">
        <v>45692</v>
      </c>
      <c r="C16" t="s">
        <v>177</v>
      </c>
      <c r="D16" t="s">
        <v>278</v>
      </c>
      <c r="E16" t="s">
        <v>275</v>
      </c>
      <c r="F16" t="s">
        <v>276</v>
      </c>
      <c r="G16">
        <v>10</v>
      </c>
      <c r="H16">
        <v>2500</v>
      </c>
      <c r="I16">
        <v>25000</v>
      </c>
      <c r="J16" t="s">
        <v>280</v>
      </c>
    </row>
    <row r="17" spans="1:10">
      <c r="A17" t="s">
        <v>308</v>
      </c>
      <c r="B17" s="1">
        <v>45904</v>
      </c>
      <c r="C17" t="s">
        <v>151</v>
      </c>
      <c r="D17" t="s">
        <v>283</v>
      </c>
      <c r="E17" t="s">
        <v>288</v>
      </c>
      <c r="F17" t="s">
        <v>289</v>
      </c>
      <c r="G17">
        <v>4</v>
      </c>
      <c r="H17">
        <v>15000</v>
      </c>
      <c r="I17">
        <v>60000</v>
      </c>
      <c r="J17" t="s">
        <v>272</v>
      </c>
    </row>
    <row r="18" spans="1:10">
      <c r="A18" t="s">
        <v>309</v>
      </c>
      <c r="B18" t="s">
        <v>310</v>
      </c>
      <c r="C18" t="s">
        <v>154</v>
      </c>
      <c r="D18" t="s">
        <v>274</v>
      </c>
      <c r="E18" t="s">
        <v>270</v>
      </c>
      <c r="F18" t="s">
        <v>271</v>
      </c>
      <c r="G18">
        <v>2</v>
      </c>
      <c r="H18">
        <v>55000</v>
      </c>
      <c r="I18">
        <v>110000</v>
      </c>
      <c r="J18" t="s">
        <v>272</v>
      </c>
    </row>
    <row r="19" spans="1:10">
      <c r="A19" t="s">
        <v>311</v>
      </c>
      <c r="B19" t="s">
        <v>312</v>
      </c>
      <c r="C19" t="s">
        <v>156</v>
      </c>
      <c r="D19" t="s">
        <v>269</v>
      </c>
      <c r="E19" t="s">
        <v>284</v>
      </c>
      <c r="F19" t="s">
        <v>276</v>
      </c>
      <c r="G19">
        <v>12</v>
      </c>
      <c r="H19">
        <v>1200</v>
      </c>
      <c r="I19">
        <v>14400</v>
      </c>
      <c r="J19" t="s">
        <v>280</v>
      </c>
    </row>
    <row r="20" spans="1:10">
      <c r="A20" t="s">
        <v>313</v>
      </c>
      <c r="B20" t="s">
        <v>314</v>
      </c>
      <c r="C20" t="s">
        <v>138</v>
      </c>
      <c r="D20" t="s">
        <v>278</v>
      </c>
      <c r="E20" t="s">
        <v>279</v>
      </c>
      <c r="F20" t="s">
        <v>271</v>
      </c>
      <c r="G20">
        <v>3</v>
      </c>
      <c r="H20">
        <v>18000</v>
      </c>
      <c r="I20">
        <v>54000</v>
      </c>
      <c r="J20" t="s">
        <v>272</v>
      </c>
    </row>
    <row r="21" spans="1:10">
      <c r="A21" t="s">
        <v>315</v>
      </c>
      <c r="B21" s="1">
        <v>45782</v>
      </c>
      <c r="C21" t="s">
        <v>160</v>
      </c>
      <c r="D21" t="s">
        <v>283</v>
      </c>
      <c r="E21" t="s">
        <v>275</v>
      </c>
      <c r="F21" t="s">
        <v>276</v>
      </c>
      <c r="G21">
        <v>7</v>
      </c>
      <c r="H21">
        <v>2500</v>
      </c>
      <c r="I21">
        <v>17500</v>
      </c>
      <c r="J21" t="s">
        <v>272</v>
      </c>
    </row>
    <row r="22" spans="1:10">
      <c r="A22" t="s">
        <v>316</v>
      </c>
      <c r="B22" s="1">
        <v>45996</v>
      </c>
      <c r="C22" t="s">
        <v>162</v>
      </c>
      <c r="D22" t="s">
        <v>274</v>
      </c>
      <c r="E22" t="s">
        <v>288</v>
      </c>
      <c r="F22" t="s">
        <v>289</v>
      </c>
      <c r="G22">
        <v>2</v>
      </c>
      <c r="H22">
        <v>15000</v>
      </c>
      <c r="I22">
        <v>30000</v>
      </c>
      <c r="J22" t="s">
        <v>280</v>
      </c>
    </row>
    <row r="23" spans="1:10">
      <c r="A23" t="s">
        <v>317</v>
      </c>
      <c r="B23" t="s">
        <v>318</v>
      </c>
      <c r="C23" t="s">
        <v>164</v>
      </c>
      <c r="D23" t="s">
        <v>269</v>
      </c>
      <c r="E23" t="s">
        <v>270</v>
      </c>
      <c r="F23" t="s">
        <v>271</v>
      </c>
      <c r="G23">
        <v>1</v>
      </c>
      <c r="H23">
        <v>55000</v>
      </c>
      <c r="I23">
        <v>55000</v>
      </c>
      <c r="J23" t="s">
        <v>272</v>
      </c>
    </row>
    <row r="24" spans="1:10">
      <c r="A24" t="s">
        <v>319</v>
      </c>
      <c r="B24" t="s">
        <v>320</v>
      </c>
      <c r="C24" t="s">
        <v>133</v>
      </c>
      <c r="D24" t="s">
        <v>278</v>
      </c>
      <c r="E24" t="s">
        <v>284</v>
      </c>
      <c r="F24" t="s">
        <v>276</v>
      </c>
      <c r="G24">
        <v>18</v>
      </c>
      <c r="H24">
        <v>1200</v>
      </c>
      <c r="I24">
        <v>21600</v>
      </c>
      <c r="J24" t="s">
        <v>272</v>
      </c>
    </row>
    <row r="25" spans="1:10">
      <c r="A25" t="s">
        <v>321</v>
      </c>
      <c r="B25" s="1">
        <v>45694</v>
      </c>
      <c r="C25" t="s">
        <v>167</v>
      </c>
      <c r="D25" t="s">
        <v>283</v>
      </c>
      <c r="E25" t="s">
        <v>279</v>
      </c>
      <c r="F25" t="s">
        <v>271</v>
      </c>
      <c r="G25">
        <v>4</v>
      </c>
      <c r="H25">
        <v>18000</v>
      </c>
      <c r="I25">
        <v>72000</v>
      </c>
      <c r="J25" t="s">
        <v>280</v>
      </c>
    </row>
    <row r="26" spans="1:10">
      <c r="A26" t="s">
        <v>322</v>
      </c>
      <c r="B26" s="1">
        <v>45906</v>
      </c>
      <c r="C26" t="s">
        <v>169</v>
      </c>
      <c r="D26" t="s">
        <v>274</v>
      </c>
      <c r="E26" t="s">
        <v>270</v>
      </c>
      <c r="F26" t="s">
        <v>271</v>
      </c>
      <c r="G26">
        <v>3</v>
      </c>
      <c r="H26">
        <v>55000</v>
      </c>
      <c r="I26">
        <v>165000</v>
      </c>
      <c r="J26" t="s">
        <v>272</v>
      </c>
    </row>
    <row r="27" spans="1:10">
      <c r="A27" t="s">
        <v>323</v>
      </c>
      <c r="B27" t="s">
        <v>324</v>
      </c>
      <c r="C27" t="s">
        <v>171</v>
      </c>
      <c r="D27" t="s">
        <v>269</v>
      </c>
      <c r="E27" t="s">
        <v>275</v>
      </c>
      <c r="F27" t="s">
        <v>276</v>
      </c>
      <c r="G27">
        <v>6</v>
      </c>
      <c r="H27">
        <v>2500</v>
      </c>
      <c r="I27">
        <v>15000</v>
      </c>
      <c r="J27" t="s">
        <v>272</v>
      </c>
    </row>
    <row r="28" spans="1:10">
      <c r="A28" t="s">
        <v>325</v>
      </c>
      <c r="B28" t="s">
        <v>326</v>
      </c>
      <c r="C28" t="s">
        <v>173</v>
      </c>
      <c r="D28" t="s">
        <v>278</v>
      </c>
      <c r="E28" t="s">
        <v>288</v>
      </c>
      <c r="F28" t="s">
        <v>289</v>
      </c>
      <c r="G28">
        <v>3</v>
      </c>
      <c r="H28">
        <v>15000</v>
      </c>
      <c r="I28">
        <v>45000</v>
      </c>
      <c r="J28" t="s">
        <v>280</v>
      </c>
    </row>
    <row r="29" spans="1:10">
      <c r="A29" t="s">
        <v>327</v>
      </c>
      <c r="B29" t="s">
        <v>328</v>
      </c>
      <c r="C29" t="s">
        <v>134</v>
      </c>
      <c r="D29" t="s">
        <v>283</v>
      </c>
      <c r="E29" t="s">
        <v>284</v>
      </c>
      <c r="F29" t="s">
        <v>276</v>
      </c>
      <c r="G29">
        <v>14</v>
      </c>
      <c r="H29">
        <v>1200</v>
      </c>
      <c r="I29">
        <v>16800</v>
      </c>
      <c r="J29" t="s">
        <v>272</v>
      </c>
    </row>
    <row r="30" spans="1:10">
      <c r="A30" t="s">
        <v>329</v>
      </c>
      <c r="B30" s="1">
        <v>45845</v>
      </c>
      <c r="C30" t="s">
        <v>141</v>
      </c>
      <c r="D30" t="s">
        <v>274</v>
      </c>
      <c r="E30" t="s">
        <v>279</v>
      </c>
      <c r="F30" t="s">
        <v>271</v>
      </c>
      <c r="G30">
        <v>5</v>
      </c>
      <c r="H30">
        <v>18000</v>
      </c>
      <c r="I30">
        <v>90000</v>
      </c>
      <c r="J30" t="s">
        <v>272</v>
      </c>
    </row>
    <row r="31" spans="1:10">
      <c r="A31" t="s">
        <v>330</v>
      </c>
      <c r="B31" t="s">
        <v>331</v>
      </c>
      <c r="C31" t="s">
        <v>177</v>
      </c>
      <c r="D31" t="s">
        <v>269</v>
      </c>
      <c r="E31" t="s">
        <v>270</v>
      </c>
      <c r="F31" t="s">
        <v>271</v>
      </c>
      <c r="G31">
        <v>2</v>
      </c>
      <c r="H31">
        <v>55000</v>
      </c>
      <c r="I31">
        <v>110000</v>
      </c>
      <c r="J31" t="s">
        <v>280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700B5-37D4-474F-8365-D7168BFD18A4}">
  <dimension ref="A1:M31"/>
  <sheetViews>
    <sheetView workbookViewId="0">
      <selection activeCell="O32" sqref="O32"/>
    </sheetView>
  </sheetViews>
  <sheetFormatPr defaultRowHeight="15"/>
  <cols>
    <col min="2" max="2" width="11.42578125" bestFit="1" customWidth="1"/>
    <col min="3" max="3" width="11.5703125" bestFit="1" customWidth="1"/>
    <col min="4" max="4" width="7.140625" bestFit="1" customWidth="1"/>
    <col min="5" max="5" width="9.42578125" bestFit="1" customWidth="1"/>
    <col min="6" max="6" width="11.140625" bestFit="1" customWidth="1"/>
    <col min="7" max="7" width="8.7109375" bestFit="1" customWidth="1"/>
    <col min="8" max="8" width="10.28515625" bestFit="1" customWidth="1"/>
    <col min="9" max="9" width="11" bestFit="1" customWidth="1"/>
    <col min="10" max="10" width="15.42578125" bestFit="1" customWidth="1"/>
    <col min="12" max="12" width="18.85546875" customWidth="1"/>
  </cols>
  <sheetData>
    <row r="1" spans="1:13">
      <c r="A1" t="s">
        <v>258</v>
      </c>
      <c r="B1" t="s">
        <v>259</v>
      </c>
      <c r="C1" t="s">
        <v>260</v>
      </c>
      <c r="D1" t="s">
        <v>261</v>
      </c>
      <c r="E1" t="s">
        <v>262</v>
      </c>
      <c r="F1" t="s">
        <v>263</v>
      </c>
      <c r="G1" t="s">
        <v>264</v>
      </c>
      <c r="H1" t="s">
        <v>265</v>
      </c>
      <c r="I1" t="s">
        <v>266</v>
      </c>
      <c r="J1" t="s">
        <v>267</v>
      </c>
    </row>
    <row r="2" spans="1:13">
      <c r="A2" t="s">
        <v>268</v>
      </c>
      <c r="B2" s="1">
        <v>45778</v>
      </c>
      <c r="C2" t="s">
        <v>151</v>
      </c>
      <c r="D2" t="s">
        <v>269</v>
      </c>
      <c r="E2" t="s">
        <v>270</v>
      </c>
      <c r="F2" t="s">
        <v>271</v>
      </c>
      <c r="G2">
        <v>2</v>
      </c>
      <c r="H2">
        <v>55000</v>
      </c>
      <c r="I2">
        <v>110000</v>
      </c>
      <c r="J2" t="s">
        <v>272</v>
      </c>
    </row>
    <row r="3" spans="1:13">
      <c r="A3" t="s">
        <v>273</v>
      </c>
      <c r="B3" s="1">
        <v>45870</v>
      </c>
      <c r="C3" t="s">
        <v>154</v>
      </c>
      <c r="D3" t="s">
        <v>274</v>
      </c>
      <c r="E3" t="s">
        <v>275</v>
      </c>
      <c r="F3" t="s">
        <v>276</v>
      </c>
      <c r="G3">
        <v>5</v>
      </c>
      <c r="H3">
        <v>2500</v>
      </c>
      <c r="I3">
        <v>12500</v>
      </c>
      <c r="J3" t="s">
        <v>272</v>
      </c>
    </row>
    <row r="4" spans="1:13">
      <c r="A4" t="s">
        <v>277</v>
      </c>
      <c r="B4" s="1">
        <v>45992</v>
      </c>
      <c r="C4" t="s">
        <v>156</v>
      </c>
      <c r="D4" t="s">
        <v>278</v>
      </c>
      <c r="E4" t="s">
        <v>279</v>
      </c>
      <c r="F4" t="s">
        <v>271</v>
      </c>
      <c r="G4">
        <v>3</v>
      </c>
      <c r="H4">
        <v>18000</v>
      </c>
      <c r="I4">
        <v>54000</v>
      </c>
      <c r="J4" t="s">
        <v>280</v>
      </c>
    </row>
    <row r="5" spans="1:13">
      <c r="A5" t="s">
        <v>281</v>
      </c>
      <c r="B5" t="s">
        <v>282</v>
      </c>
      <c r="C5" t="s">
        <v>138</v>
      </c>
      <c r="D5" t="s">
        <v>283</v>
      </c>
      <c r="E5" t="s">
        <v>284</v>
      </c>
      <c r="F5" t="s">
        <v>276</v>
      </c>
      <c r="G5">
        <v>10</v>
      </c>
      <c r="H5">
        <v>1200</v>
      </c>
      <c r="I5">
        <v>12000</v>
      </c>
      <c r="J5" t="s">
        <v>272</v>
      </c>
    </row>
    <row r="6" spans="1:13">
      <c r="A6" t="s">
        <v>285</v>
      </c>
      <c r="B6" t="s">
        <v>286</v>
      </c>
      <c r="C6" t="s">
        <v>160</v>
      </c>
      <c r="D6" t="s">
        <v>274</v>
      </c>
      <c r="E6" t="s">
        <v>270</v>
      </c>
      <c r="F6" t="s">
        <v>271</v>
      </c>
      <c r="G6">
        <v>1</v>
      </c>
      <c r="H6">
        <v>55000</v>
      </c>
      <c r="I6">
        <v>55000</v>
      </c>
      <c r="J6" t="s">
        <v>272</v>
      </c>
    </row>
    <row r="7" spans="1:13">
      <c r="A7" t="s">
        <v>287</v>
      </c>
      <c r="B7" s="1">
        <v>45718</v>
      </c>
      <c r="C7" t="s">
        <v>162</v>
      </c>
      <c r="D7" t="s">
        <v>269</v>
      </c>
      <c r="E7" t="s">
        <v>288</v>
      </c>
      <c r="F7" t="s">
        <v>289</v>
      </c>
      <c r="G7">
        <v>2</v>
      </c>
      <c r="H7">
        <v>15000</v>
      </c>
      <c r="I7">
        <v>30000</v>
      </c>
      <c r="J7" t="s">
        <v>280</v>
      </c>
    </row>
    <row r="8" spans="1:13">
      <c r="A8" t="s">
        <v>290</v>
      </c>
      <c r="B8" s="1">
        <v>45932</v>
      </c>
      <c r="C8" t="s">
        <v>164</v>
      </c>
      <c r="D8" t="s">
        <v>278</v>
      </c>
      <c r="E8" t="s">
        <v>270</v>
      </c>
      <c r="F8" t="s">
        <v>271</v>
      </c>
      <c r="G8">
        <v>3</v>
      </c>
      <c r="H8">
        <v>55000</v>
      </c>
      <c r="I8">
        <v>165000</v>
      </c>
      <c r="J8" t="s">
        <v>272</v>
      </c>
      <c r="L8" t="s">
        <v>291</v>
      </c>
      <c r="M8" t="s">
        <v>280</v>
      </c>
    </row>
    <row r="9" spans="1:13">
      <c r="A9" t="s">
        <v>293</v>
      </c>
      <c r="B9" t="s">
        <v>294</v>
      </c>
      <c r="C9" t="s">
        <v>133</v>
      </c>
      <c r="D9" t="s">
        <v>283</v>
      </c>
      <c r="E9" t="s">
        <v>275</v>
      </c>
      <c r="F9" t="s">
        <v>276</v>
      </c>
      <c r="G9">
        <v>8</v>
      </c>
      <c r="H9">
        <v>2500</v>
      </c>
      <c r="I9">
        <v>20000</v>
      </c>
      <c r="J9" t="s">
        <v>272</v>
      </c>
      <c r="L9" t="s">
        <v>332</v>
      </c>
      <c r="M9">
        <f>COUNTIF(J2:J31,M8)</f>
        <v>10</v>
      </c>
    </row>
    <row r="10" spans="1:13">
      <c r="A10" t="s">
        <v>295</v>
      </c>
      <c r="B10" t="s">
        <v>296</v>
      </c>
      <c r="C10" t="s">
        <v>167</v>
      </c>
      <c r="D10" t="s">
        <v>274</v>
      </c>
      <c r="E10" t="s">
        <v>279</v>
      </c>
      <c r="F10" t="s">
        <v>271</v>
      </c>
      <c r="G10">
        <v>4</v>
      </c>
      <c r="H10">
        <v>18000</v>
      </c>
      <c r="I10">
        <v>72000</v>
      </c>
      <c r="J10" t="s">
        <v>280</v>
      </c>
    </row>
    <row r="11" spans="1:13">
      <c r="A11" t="s">
        <v>297</v>
      </c>
      <c r="B11" t="s">
        <v>298</v>
      </c>
      <c r="C11" t="s">
        <v>169</v>
      </c>
      <c r="D11" t="s">
        <v>269</v>
      </c>
      <c r="E11" t="s">
        <v>284</v>
      </c>
      <c r="F11" t="s">
        <v>276</v>
      </c>
      <c r="G11">
        <v>15</v>
      </c>
      <c r="H11">
        <v>1200</v>
      </c>
      <c r="I11">
        <v>18000</v>
      </c>
      <c r="J11" t="s">
        <v>272</v>
      </c>
      <c r="L11" t="s">
        <v>333</v>
      </c>
      <c r="M11" t="s">
        <v>154</v>
      </c>
    </row>
    <row r="12" spans="1:13">
      <c r="A12" t="s">
        <v>300</v>
      </c>
      <c r="B12" s="1">
        <v>45780</v>
      </c>
      <c r="C12" t="s">
        <v>171</v>
      </c>
      <c r="D12" t="s">
        <v>278</v>
      </c>
      <c r="E12" t="s">
        <v>288</v>
      </c>
      <c r="F12" t="s">
        <v>289</v>
      </c>
      <c r="G12">
        <v>3</v>
      </c>
      <c r="H12">
        <v>15000</v>
      </c>
      <c r="I12">
        <v>45000</v>
      </c>
      <c r="J12" t="s">
        <v>272</v>
      </c>
      <c r="L12" t="s">
        <v>334</v>
      </c>
      <c r="M12">
        <f>SUMIF(C2:C31,M11,I2:I31)</f>
        <v>122500</v>
      </c>
    </row>
    <row r="13" spans="1:13">
      <c r="A13" t="s">
        <v>302</v>
      </c>
      <c r="B13" s="1">
        <v>45994</v>
      </c>
      <c r="C13" t="s">
        <v>173</v>
      </c>
      <c r="D13" t="s">
        <v>283</v>
      </c>
      <c r="E13" t="s">
        <v>270</v>
      </c>
      <c r="F13" t="s">
        <v>271</v>
      </c>
      <c r="G13">
        <v>2</v>
      </c>
      <c r="H13">
        <v>55000</v>
      </c>
      <c r="I13">
        <v>110000</v>
      </c>
      <c r="J13" t="s">
        <v>280</v>
      </c>
    </row>
    <row r="14" spans="1:13">
      <c r="A14" t="s">
        <v>303</v>
      </c>
      <c r="B14" t="s">
        <v>304</v>
      </c>
      <c r="C14" t="s">
        <v>134</v>
      </c>
      <c r="D14" t="s">
        <v>274</v>
      </c>
      <c r="E14" t="s">
        <v>284</v>
      </c>
      <c r="F14" t="s">
        <v>276</v>
      </c>
      <c r="G14">
        <v>20</v>
      </c>
      <c r="H14">
        <v>1200</v>
      </c>
      <c r="I14">
        <v>24000</v>
      </c>
      <c r="J14" t="s">
        <v>272</v>
      </c>
    </row>
    <row r="15" spans="1:13">
      <c r="A15" t="s">
        <v>305</v>
      </c>
      <c r="B15" t="s">
        <v>306</v>
      </c>
      <c r="C15" t="s">
        <v>141</v>
      </c>
      <c r="D15" t="s">
        <v>269</v>
      </c>
      <c r="E15" t="s">
        <v>279</v>
      </c>
      <c r="F15" t="s">
        <v>271</v>
      </c>
      <c r="G15">
        <v>5</v>
      </c>
      <c r="H15">
        <v>18000</v>
      </c>
      <c r="I15">
        <v>90000</v>
      </c>
      <c r="J15" t="s">
        <v>272</v>
      </c>
    </row>
    <row r="16" spans="1:13">
      <c r="A16" t="s">
        <v>307</v>
      </c>
      <c r="B16" s="1">
        <v>45692</v>
      </c>
      <c r="C16" t="s">
        <v>177</v>
      </c>
      <c r="D16" t="s">
        <v>278</v>
      </c>
      <c r="E16" t="s">
        <v>275</v>
      </c>
      <c r="F16" t="s">
        <v>276</v>
      </c>
      <c r="G16">
        <v>10</v>
      </c>
      <c r="H16">
        <v>2500</v>
      </c>
      <c r="I16">
        <v>25000</v>
      </c>
      <c r="J16" t="s">
        <v>280</v>
      </c>
      <c r="L16" t="s">
        <v>261</v>
      </c>
      <c r="M16" t="s">
        <v>274</v>
      </c>
    </row>
    <row r="17" spans="1:13">
      <c r="A17" t="s">
        <v>308</v>
      </c>
      <c r="B17" s="1">
        <v>45904</v>
      </c>
      <c r="C17" t="s">
        <v>151</v>
      </c>
      <c r="D17" t="s">
        <v>283</v>
      </c>
      <c r="E17" t="s">
        <v>288</v>
      </c>
      <c r="F17" t="s">
        <v>289</v>
      </c>
      <c r="G17">
        <v>4</v>
      </c>
      <c r="H17">
        <v>15000</v>
      </c>
      <c r="I17">
        <v>60000</v>
      </c>
      <c r="J17" t="s">
        <v>272</v>
      </c>
      <c r="L17" t="s">
        <v>263</v>
      </c>
      <c r="M17" t="s">
        <v>271</v>
      </c>
    </row>
    <row r="18" spans="1:13">
      <c r="A18" t="s">
        <v>309</v>
      </c>
      <c r="B18" t="s">
        <v>310</v>
      </c>
      <c r="C18" t="s">
        <v>154</v>
      </c>
      <c r="D18" t="s">
        <v>274</v>
      </c>
      <c r="E18" t="s">
        <v>270</v>
      </c>
      <c r="F18" t="s">
        <v>271</v>
      </c>
      <c r="G18">
        <v>2</v>
      </c>
      <c r="H18">
        <v>55000</v>
      </c>
      <c r="I18">
        <v>110000</v>
      </c>
      <c r="J18" t="s">
        <v>272</v>
      </c>
      <c r="L18" t="s">
        <v>256</v>
      </c>
      <c r="M18">
        <f>COUNTIFS(D2:D31,M16,F2:F31,M17)</f>
        <v>5</v>
      </c>
    </row>
    <row r="19" spans="1:13">
      <c r="A19" t="s">
        <v>311</v>
      </c>
      <c r="B19" t="s">
        <v>312</v>
      </c>
      <c r="C19" t="s">
        <v>156</v>
      </c>
      <c r="D19" t="s">
        <v>269</v>
      </c>
      <c r="E19" t="s">
        <v>284</v>
      </c>
      <c r="F19" t="s">
        <v>276</v>
      </c>
      <c r="G19">
        <v>12</v>
      </c>
      <c r="H19">
        <v>1200</v>
      </c>
      <c r="I19">
        <v>14400</v>
      </c>
      <c r="J19" t="s">
        <v>280</v>
      </c>
    </row>
    <row r="20" spans="1:13">
      <c r="A20" t="s">
        <v>313</v>
      </c>
      <c r="B20" t="s">
        <v>314</v>
      </c>
      <c r="C20" t="s">
        <v>138</v>
      </c>
      <c r="D20" t="s">
        <v>278</v>
      </c>
      <c r="E20" t="s">
        <v>279</v>
      </c>
      <c r="F20" t="s">
        <v>271</v>
      </c>
      <c r="G20">
        <v>3</v>
      </c>
      <c r="H20">
        <v>18000</v>
      </c>
      <c r="I20">
        <v>54000</v>
      </c>
      <c r="J20" t="s">
        <v>272</v>
      </c>
    </row>
    <row r="21" spans="1:13">
      <c r="A21" t="s">
        <v>315</v>
      </c>
      <c r="B21" s="1">
        <v>45782</v>
      </c>
      <c r="C21" t="s">
        <v>160</v>
      </c>
      <c r="D21" t="s">
        <v>283</v>
      </c>
      <c r="E21" t="s">
        <v>275</v>
      </c>
      <c r="F21" t="s">
        <v>276</v>
      </c>
      <c r="G21">
        <v>7</v>
      </c>
      <c r="H21">
        <v>2500</v>
      </c>
      <c r="I21">
        <v>17500</v>
      </c>
      <c r="J21" t="s">
        <v>272</v>
      </c>
      <c r="L21" t="s">
        <v>261</v>
      </c>
      <c r="M21" t="s">
        <v>269</v>
      </c>
    </row>
    <row r="22" spans="1:13">
      <c r="A22" t="s">
        <v>316</v>
      </c>
      <c r="B22" s="1">
        <v>45996</v>
      </c>
      <c r="C22" t="s">
        <v>162</v>
      </c>
      <c r="D22" t="s">
        <v>274</v>
      </c>
      <c r="E22" t="s">
        <v>288</v>
      </c>
      <c r="F22" t="s">
        <v>289</v>
      </c>
      <c r="G22">
        <v>2</v>
      </c>
      <c r="H22">
        <v>15000</v>
      </c>
      <c r="I22">
        <v>30000</v>
      </c>
      <c r="J22" t="s">
        <v>280</v>
      </c>
      <c r="L22" t="s">
        <v>263</v>
      </c>
      <c r="M22" t="s">
        <v>289</v>
      </c>
    </row>
    <row r="23" spans="1:13">
      <c r="A23" t="s">
        <v>317</v>
      </c>
      <c r="B23" t="s">
        <v>318</v>
      </c>
      <c r="C23" t="s">
        <v>164</v>
      </c>
      <c r="D23" t="s">
        <v>269</v>
      </c>
      <c r="E23" t="s">
        <v>270</v>
      </c>
      <c r="F23" t="s">
        <v>271</v>
      </c>
      <c r="G23">
        <v>1</v>
      </c>
      <c r="H23">
        <v>55000</v>
      </c>
      <c r="I23">
        <v>55000</v>
      </c>
      <c r="J23" t="s">
        <v>272</v>
      </c>
      <c r="L23" t="s">
        <v>251</v>
      </c>
      <c r="M23">
        <f>SUMIFS(I2:I31,D2:D31,M21,F2:F31,M22)</f>
        <v>30000</v>
      </c>
    </row>
    <row r="24" spans="1:13">
      <c r="A24" t="s">
        <v>319</v>
      </c>
      <c r="B24" t="s">
        <v>320</v>
      </c>
      <c r="C24" t="s">
        <v>133</v>
      </c>
      <c r="D24" t="s">
        <v>278</v>
      </c>
      <c r="E24" t="s">
        <v>284</v>
      </c>
      <c r="F24" t="s">
        <v>276</v>
      </c>
      <c r="G24">
        <v>18</v>
      </c>
      <c r="H24">
        <v>1200</v>
      </c>
      <c r="I24">
        <v>21600</v>
      </c>
      <c r="J24" t="s">
        <v>272</v>
      </c>
    </row>
    <row r="25" spans="1:13">
      <c r="A25" t="s">
        <v>321</v>
      </c>
      <c r="B25" s="1">
        <v>45694</v>
      </c>
      <c r="C25" t="s">
        <v>167</v>
      </c>
      <c r="D25" t="s">
        <v>283</v>
      </c>
      <c r="E25" t="s">
        <v>279</v>
      </c>
      <c r="F25" t="s">
        <v>271</v>
      </c>
      <c r="G25">
        <v>4</v>
      </c>
      <c r="H25">
        <v>18000</v>
      </c>
      <c r="I25">
        <v>72000</v>
      </c>
      <c r="J25" t="s">
        <v>280</v>
      </c>
    </row>
    <row r="26" spans="1:13">
      <c r="A26" t="s">
        <v>322</v>
      </c>
      <c r="B26" s="1">
        <v>45906</v>
      </c>
      <c r="C26" t="s">
        <v>169</v>
      </c>
      <c r="D26" t="s">
        <v>274</v>
      </c>
      <c r="E26" t="s">
        <v>270</v>
      </c>
      <c r="F26" t="s">
        <v>271</v>
      </c>
      <c r="G26">
        <v>3</v>
      </c>
      <c r="H26">
        <v>55000</v>
      </c>
      <c r="I26">
        <v>165000</v>
      </c>
      <c r="J26" t="s">
        <v>272</v>
      </c>
      <c r="L26" t="s">
        <v>264</v>
      </c>
      <c r="M26">
        <v>2</v>
      </c>
    </row>
    <row r="27" spans="1:13">
      <c r="A27" t="s">
        <v>323</v>
      </c>
      <c r="B27" t="s">
        <v>324</v>
      </c>
      <c r="C27" t="s">
        <v>171</v>
      </c>
      <c r="D27" t="s">
        <v>269</v>
      </c>
      <c r="E27" t="s">
        <v>275</v>
      </c>
      <c r="F27" t="s">
        <v>276</v>
      </c>
      <c r="G27">
        <v>6</v>
      </c>
      <c r="H27">
        <v>2500</v>
      </c>
      <c r="I27">
        <v>15000</v>
      </c>
      <c r="J27" t="s">
        <v>272</v>
      </c>
      <c r="L27" t="s">
        <v>335</v>
      </c>
      <c r="M27">
        <f>SUMIF(G2:G31,M26,I2:I31)</f>
        <v>500000</v>
      </c>
    </row>
    <row r="28" spans="1:13">
      <c r="A28" t="s">
        <v>325</v>
      </c>
      <c r="B28" t="s">
        <v>326</v>
      </c>
      <c r="C28" t="s">
        <v>173</v>
      </c>
      <c r="D28" t="s">
        <v>278</v>
      </c>
      <c r="E28" t="s">
        <v>288</v>
      </c>
      <c r="F28" t="s">
        <v>289</v>
      </c>
      <c r="G28">
        <v>3</v>
      </c>
      <c r="H28">
        <v>15000</v>
      </c>
      <c r="I28">
        <v>45000</v>
      </c>
      <c r="J28" t="s">
        <v>280</v>
      </c>
    </row>
    <row r="29" spans="1:13">
      <c r="A29" t="s">
        <v>327</v>
      </c>
      <c r="B29" t="s">
        <v>328</v>
      </c>
      <c r="C29" t="s">
        <v>134</v>
      </c>
      <c r="D29" t="s">
        <v>283</v>
      </c>
      <c r="E29" t="s">
        <v>284</v>
      </c>
      <c r="F29" t="s">
        <v>276</v>
      </c>
      <c r="G29">
        <v>14</v>
      </c>
      <c r="H29">
        <v>1200</v>
      </c>
      <c r="I29">
        <v>16800</v>
      </c>
      <c r="J29" t="s">
        <v>272</v>
      </c>
      <c r="L29" t="s">
        <v>264</v>
      </c>
      <c r="M29">
        <v>2</v>
      </c>
    </row>
    <row r="30" spans="1:13">
      <c r="A30" t="s">
        <v>329</v>
      </c>
      <c r="B30" s="1">
        <v>45845</v>
      </c>
      <c r="C30" t="s">
        <v>141</v>
      </c>
      <c r="D30" t="s">
        <v>274</v>
      </c>
      <c r="E30" t="s">
        <v>279</v>
      </c>
      <c r="F30" t="s">
        <v>271</v>
      </c>
      <c r="G30">
        <v>5</v>
      </c>
      <c r="H30">
        <v>18000</v>
      </c>
      <c r="I30">
        <v>90000</v>
      </c>
      <c r="J30" t="s">
        <v>272</v>
      </c>
      <c r="L30" t="s">
        <v>336</v>
      </c>
      <c r="M30">
        <v>55000</v>
      </c>
    </row>
    <row r="31" spans="1:13">
      <c r="A31" t="s">
        <v>330</v>
      </c>
      <c r="B31" t="s">
        <v>331</v>
      </c>
      <c r="C31" t="s">
        <v>177</v>
      </c>
      <c r="D31" t="s">
        <v>269</v>
      </c>
      <c r="E31" t="s">
        <v>270</v>
      </c>
      <c r="F31" t="s">
        <v>271</v>
      </c>
      <c r="G31">
        <v>2</v>
      </c>
      <c r="H31">
        <v>55000</v>
      </c>
      <c r="I31">
        <v>110000</v>
      </c>
      <c r="J31" t="s">
        <v>280</v>
      </c>
      <c r="L31" t="s">
        <v>263</v>
      </c>
      <c r="M31">
        <f>COUNTIFS(G2:G31,M29,H2:H31,M30)</f>
        <v>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34643-6ABF-4E56-9116-AE6EA13E8B90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2026-09-19T04:08:00Z</dcterms:created>
  <dcterms:modified xsi:type="dcterms:W3CDTF">2026-09-19T09:58:52Z</dcterms:modified>
  <cp:category/>
  <cp:contentStatus/>
</cp:coreProperties>
</file>