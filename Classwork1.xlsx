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760BAB1F-BE57-4447-9310-E24E21BA8B6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O10" i="1" l="1"/>
  <c r="L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2" i="1"/>
  <c r="G3" i="1" a="1"/>
  <c r="G3" i="1"/>
  <c r="G4" i="1" a="1"/>
  <c r="G4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24" i="1" a="1"/>
  <c r="G24" i="1"/>
  <c r="G25" i="1" a="1"/>
  <c r="G25" i="1"/>
  <c r="G26" i="1" a="1"/>
  <c r="G26" i="1"/>
  <c r="G27" i="1" a="1"/>
  <c r="G27" i="1"/>
  <c r="G28" i="1" a="1"/>
  <c r="G28" i="1"/>
  <c r="G29" i="1" a="1"/>
  <c r="G29" i="1"/>
  <c r="G30" i="1" a="1"/>
  <c r="G30" i="1"/>
  <c r="G31" i="1" a="1"/>
  <c r="G31" i="1"/>
  <c r="G32" i="1" a="1"/>
  <c r="G32" i="1"/>
  <c r="G33" i="1" a="1"/>
  <c r="G33" i="1"/>
  <c r="G34" i="1" a="1"/>
  <c r="G34" i="1"/>
  <c r="G35" i="1" a="1"/>
  <c r="G35" i="1"/>
  <c r="G36" i="1" a="1"/>
  <c r="G36" i="1"/>
  <c r="G37" i="1" a="1"/>
  <c r="G37" i="1"/>
  <c r="G38" i="1" a="1"/>
  <c r="G38" i="1"/>
  <c r="G39" i="1" a="1"/>
  <c r="G39" i="1"/>
  <c r="G40" i="1" a="1"/>
  <c r="G40" i="1"/>
  <c r="G41" i="1" a="1"/>
  <c r="G41" i="1"/>
  <c r="G42" i="1" a="1"/>
  <c r="G42" i="1"/>
  <c r="G43" i="1" a="1"/>
  <c r="G43" i="1"/>
  <c r="G44" i="1" a="1"/>
  <c r="G44" i="1"/>
  <c r="G45" i="1" a="1"/>
  <c r="G45" i="1"/>
  <c r="G46" i="1" a="1"/>
  <c r="G46" i="1"/>
  <c r="G47" i="1" a="1"/>
  <c r="G47" i="1"/>
  <c r="G48" i="1" a="1"/>
  <c r="G48" i="1"/>
  <c r="G49" i="1" a="1"/>
  <c r="G49" i="1"/>
  <c r="G2" i="1" a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<sst xmlns="http://schemas.openxmlformats.org/spreadsheetml/2006/main" count="162" uniqueCount="111">
  <si>
    <t>Student Name</t>
  </si>
  <si>
    <t>Email ID</t>
  </si>
  <si>
    <t>Position Of @</t>
  </si>
  <si>
    <t>Marks</t>
  </si>
  <si>
    <t>Pass/Fail</t>
  </si>
  <si>
    <t>Grade</t>
  </si>
  <si>
    <t>Group</t>
  </si>
  <si>
    <t>Phone Number</t>
  </si>
  <si>
    <t xml:space="preserve">Phone NO </t>
  </si>
  <si>
    <t>John Doe</t>
  </si>
  <si>
    <t>john_doe@mail.com</t>
  </si>
  <si>
    <t>A</t>
  </si>
  <si>
    <t>Meera S</t>
  </si>
  <si>
    <t>Meera_S@Y-mail.com</t>
  </si>
  <si>
    <t>B</t>
  </si>
  <si>
    <t>Akhil K</t>
  </si>
  <si>
    <t>akhil_kumar@out-box.com</t>
  </si>
  <si>
    <t>Rose Mary</t>
  </si>
  <si>
    <t>rose.mary@mail.com</t>
  </si>
  <si>
    <t>Riya P</t>
  </si>
  <si>
    <t>riya_p@MAIL.COM</t>
  </si>
  <si>
    <t>Arjun R</t>
  </si>
  <si>
    <t>arjunr@mail.com</t>
  </si>
  <si>
    <t>Neha S</t>
  </si>
  <si>
    <t>neha_s@y-mail.com</t>
  </si>
  <si>
    <t>Students</t>
  </si>
  <si>
    <t>Pass</t>
  </si>
  <si>
    <t>Kiran M</t>
  </si>
  <si>
    <t>kiran_m@hot-box.com</t>
  </si>
  <si>
    <t>Count</t>
  </si>
  <si>
    <t>&gt;60</t>
  </si>
  <si>
    <t>Anand T</t>
  </si>
  <si>
    <t>anand_t@mail.com</t>
  </si>
  <si>
    <t>Divya R</t>
  </si>
  <si>
    <t>divya_r@Y-mail.com</t>
  </si>
  <si>
    <t>Suresh K</t>
  </si>
  <si>
    <t>suresh_k@mail.com</t>
  </si>
  <si>
    <t>Pooja M</t>
  </si>
  <si>
    <t>pooja_m@out-box.com</t>
  </si>
  <si>
    <t>Rahul S</t>
  </si>
  <si>
    <t>rahul_s@mail.com</t>
  </si>
  <si>
    <t>Kavya N</t>
  </si>
  <si>
    <t>kavya_n@y-mail.com</t>
  </si>
  <si>
    <t>Manoj P</t>
  </si>
  <si>
    <t>manoj_p@mail.com</t>
  </si>
  <si>
    <t>Swathi R</t>
  </si>
  <si>
    <t>swathi_r@hot-box.com</t>
  </si>
  <si>
    <t>Ajay K</t>
  </si>
  <si>
    <t>ajay_k@MAIL.COM</t>
  </si>
  <si>
    <t>Sneha M</t>
  </si>
  <si>
    <t>sneha_m@y-mail.com</t>
  </si>
  <si>
    <t>Prakash S</t>
  </si>
  <si>
    <t>prakash_s@mail.com</t>
  </si>
  <si>
    <t>Nithya R</t>
  </si>
  <si>
    <t>nithya_r@out-box.com</t>
  </si>
  <si>
    <t>Rohit K</t>
  </si>
  <si>
    <t>rohit_k@mail.com</t>
  </si>
  <si>
    <t>Aishwarya P</t>
  </si>
  <si>
    <t>aish_p@y-mail.com</t>
  </si>
  <si>
    <t>Sanjay M</t>
  </si>
  <si>
    <t>sanjay_m@mail.com</t>
  </si>
  <si>
    <t>Bhavya R</t>
  </si>
  <si>
    <t>bhavya_r@hot-box.com</t>
  </si>
  <si>
    <t>Vignesh K</t>
  </si>
  <si>
    <t>vignesh_k@mail.com</t>
  </si>
  <si>
    <t>Priya S</t>
  </si>
  <si>
    <t>priya_s@Y-mail.com</t>
  </si>
  <si>
    <t>Karthik M</t>
  </si>
  <si>
    <t>karthik_m@mail.com</t>
  </si>
  <si>
    <t>Harini R</t>
  </si>
  <si>
    <t>harini_r@out-box.com</t>
  </si>
  <si>
    <t>Naveen P</t>
  </si>
  <si>
    <t>naveen_p@mail.com</t>
  </si>
  <si>
    <t>Lakshmi S</t>
  </si>
  <si>
    <t>lakshmi_s@y-mail.com</t>
  </si>
  <si>
    <t>Dinesh K</t>
  </si>
  <si>
    <t>dinesh_k@mail.com</t>
  </si>
  <si>
    <t>Revathi M</t>
  </si>
  <si>
    <t>revathi_m@hot-box.com</t>
  </si>
  <si>
    <t>Balaji R</t>
  </si>
  <si>
    <t>balaji_r@mail.com</t>
  </si>
  <si>
    <t>Keerthana S</t>
  </si>
  <si>
    <t>keerthana_s@y-mail.com</t>
  </si>
  <si>
    <t>Mohan P</t>
  </si>
  <si>
    <t>mohan_p@mail.com</t>
  </si>
  <si>
    <t>Sandhya R</t>
  </si>
  <si>
    <t>sandhya_r@out-box.com</t>
  </si>
  <si>
    <t>Ramesh K</t>
  </si>
  <si>
    <t>ramesh_k@mail.com</t>
  </si>
  <si>
    <t>Anjali M</t>
  </si>
  <si>
    <t>anjali_m@y-mail.com</t>
  </si>
  <si>
    <t>Siva R</t>
  </si>
  <si>
    <t>siva_r@mail.com</t>
  </si>
  <si>
    <t>Deepa S</t>
  </si>
  <si>
    <t>deepa_s@hot-box.com</t>
  </si>
  <si>
    <t>Hari K</t>
  </si>
  <si>
    <t>hari_k@MAIL.COM</t>
  </si>
  <si>
    <t>Vaishnavi P</t>
  </si>
  <si>
    <t>vaishu_p@y-mail.com</t>
  </si>
  <si>
    <t>Lokesh R</t>
  </si>
  <si>
    <t>lokesh_r@mail.com</t>
  </si>
  <si>
    <t>Malathi S</t>
  </si>
  <si>
    <t>malathi_s@out-box.com</t>
  </si>
  <si>
    <t>Naren K</t>
  </si>
  <si>
    <t>naren_k@mail.com</t>
  </si>
  <si>
    <t>Pankaj M</t>
  </si>
  <si>
    <t>pankaj_m@y-mail.com</t>
  </si>
  <si>
    <t>Shalini R</t>
  </si>
  <si>
    <t>shalini_r@mail.com</t>
  </si>
  <si>
    <t>Gokul P</t>
  </si>
  <si>
    <t>gokul_p@hot-box.com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</si>
</sst>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1" fillId="0" borderId="0" xfId="0" applyFont="1" applyBorder="1" applyAlignment="1">
      <alignment readingOrder="1"/>
    </xf>
    <xf numFmtId="0" fontId="2" fillId="0" borderId="0" xfId="0" applyFont="1" applyBorder="1" applyAlignment="1">
      <alignment readingOrder="1"/>
    </xf>
    <xf numFmtId="0" fontId="2" fillId="0" borderId="5" xfId="0" applyFont="1" applyBorder="1" applyAlignment="1">
      <alignment wrapText="1" readingOrder="1"/>
    </xf>
    <xf numFmtId="0" fontId="1" fillId="0" borderId="10" xfId="0" applyFont="1" applyBorder="1" applyAlignment="1">
      <alignment readingOrder="1"/>
    </xf>
    <xf numFmtId="0" fontId="2" fillId="0" borderId="1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workbookViewId="0">
      <selection activeCell="O10" sqref="O10"/>
    </sheetView>
  </sheetViews>
  <sheetFormatPr defaultRowHeight="15"/>
  <cols>
    <col min="1" max="1" width="13.7109375" bestFit="1" customWidth="1"/>
    <col min="2" max="2" width="13.7109375" customWidth="1"/>
    <col min="3" max="3" width="23.7109375" bestFit="1" customWidth="1"/>
    <col min="4" max="4" width="13.5703125" customWidth="1"/>
    <col min="5" max="5" width="6.5703125" bestFit="1" customWidth="1"/>
    <col min="6" max="7" width="14.85546875" customWidth="1"/>
    <col min="8" max="8" width="6.7109375" bestFit="1" customWidth="1"/>
    <col min="9" max="9" width="14.42578125" bestFit="1" customWidth="1"/>
    <col min="10" max="10" width="14.42578125" customWidth="1"/>
  </cols>
  <sheetData>
    <row r="1" spans="1:15">
      <c r="A1" s="1" t="s">
        <v>0</v>
      </c>
      <c r="B1" s="13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10" t="s">
        <v>8</v>
      </c>
    </row>
    <row r="2" spans="1:15">
      <c r="A2" s="4" t="s">
        <v>9</v>
      </c>
      <c r="B2" s="14" t="str">
        <f>_xlfn.TEXTJOIN(A2,TRUE,A2)</f>
        <v>John Doe</v>
      </c>
      <c r="C2" s="5" t="s">
        <v>10</v>
      </c>
      <c r="D2" s="5">
        <f>FIND("@",C2)</f>
        <v>9</v>
      </c>
      <c r="E2" s="5">
        <v>78</v>
      </c>
      <c r="F2" s="5" t="str">
        <f>IF(E2&gt;=40,"Pass",IF(E2&lt;40,"Fail"))</f>
        <v>Pass</v>
      </c>
      <c r="G2" s="12" t="str" cm="1">
        <f t="array" ref="G2">_xlfn.IFS(E2&gt;=90,"A",E2&gt;=75,"B",E2&gt;=60,"C",E2&gt;=40,"D",E2&lt;40,"Fail")</f>
        <v>B</v>
      </c>
      <c r="H2" s="5" t="s">
        <v>11</v>
      </c>
      <c r="I2" s="6">
        <v>91123456789</v>
      </c>
      <c r="J2" s="11" t="str">
        <f>IF(ISBLANK(I2),"Blank","Not Blank")</f>
        <v>Not Blank</v>
      </c>
    </row>
    <row r="3" spans="1:15">
      <c r="A3" s="4" t="s">
        <v>12</v>
      </c>
      <c r="B3" s="14" t="str">
        <f t="shared" ref="B3:B49" si="0">_xlfn.TEXTJOIN(A3,TRUE,A3)</f>
        <v>Meera S</v>
      </c>
      <c r="C3" s="5" t="s">
        <v>13</v>
      </c>
      <c r="D3" s="5">
        <f t="shared" ref="D3:D49" si="1">FIND("@",C3)</f>
        <v>8</v>
      </c>
      <c r="E3" s="5">
        <v>92</v>
      </c>
      <c r="F3" s="5" t="str">
        <f t="shared" ref="F3:F49" si="2">IF(E3&gt;=40,"Pass",IF(E3&lt;40,"Fail"))</f>
        <v>Pass</v>
      </c>
      <c r="G3" s="12" t="str" cm="1">
        <f t="array" ref="G3">_xlfn.IFS(E3&gt;=90,"A",E3&gt;=75,"B",E3&gt;=60,"C",E3&gt;=40,"D",E3&lt;40,"Fail")</f>
        <v>A</v>
      </c>
      <c r="H3" s="5" t="s">
        <v>14</v>
      </c>
      <c r="I3" s="6"/>
      <c r="J3" s="11" t="str">
        <f t="shared" ref="J3:J49" si="3">IF(ISBLANK(I3),"Blank","Not Blank")</f>
        <v>Blank</v>
      </c>
    </row>
    <row r="4" spans="1:15">
      <c r="A4" s="4" t="s">
        <v>15</v>
      </c>
      <c r="B4" s="14" t="str">
        <f t="shared" si="0"/>
        <v>Akhil K</v>
      </c>
      <c r="C4" s="5" t="s">
        <v>16</v>
      </c>
      <c r="D4" s="5">
        <f t="shared" si="1"/>
        <v>12</v>
      </c>
      <c r="E4" s="5">
        <v>35</v>
      </c>
      <c r="F4" s="5" t="str">
        <f t="shared" si="2"/>
        <v>Fail</v>
      </c>
      <c r="G4" s="12" t="str" cm="1">
        <f t="array" ref="G4">_xlfn.IFS(E4&gt;=90,"A",E4&gt;=75,"B",E4&gt;=60,"C",E4&gt;=40,"D",E4&lt;40,"Fail")</f>
        <v>Fail</v>
      </c>
      <c r="H4" s="5" t="s">
        <v>11</v>
      </c>
      <c r="I4" s="6">
        <v>91987654321</v>
      </c>
      <c r="J4" s="11" t="str">
        <f t="shared" si="3"/>
        <v>Not Blank</v>
      </c>
    </row>
    <row r="5" spans="1:15">
      <c r="A5" s="4" t="s">
        <v>17</v>
      </c>
      <c r="B5" s="14" t="str">
        <f t="shared" si="0"/>
        <v>Rose Mary</v>
      </c>
      <c r="C5" s="5" t="s">
        <v>18</v>
      </c>
      <c r="D5" s="5">
        <f t="shared" si="1"/>
        <v>10</v>
      </c>
      <c r="E5" s="5">
        <v>67</v>
      </c>
      <c r="F5" s="5" t="str">
        <f t="shared" si="2"/>
        <v>Pass</v>
      </c>
      <c r="G5" s="12" t="str" cm="1">
        <f t="array" ref="G5">_xlfn.IFS(E5&gt;=90,"A",E5&gt;=75,"B",E5&gt;=60,"C",E5&gt;=40,"D",E5&lt;40,"Fail")</f>
        <v>C</v>
      </c>
      <c r="H5" s="5" t="s">
        <v>14</v>
      </c>
      <c r="I5" s="6">
        <v>91888888888</v>
      </c>
      <c r="J5" s="11" t="str">
        <f t="shared" si="3"/>
        <v>Not Blank</v>
      </c>
    </row>
    <row r="6" spans="1:15">
      <c r="A6" s="4" t="s">
        <v>19</v>
      </c>
      <c r="B6" s="14" t="str">
        <f t="shared" si="0"/>
        <v>Riya P</v>
      </c>
      <c r="C6" s="5" t="s">
        <v>20</v>
      </c>
      <c r="D6" s="5">
        <f t="shared" si="1"/>
        <v>7</v>
      </c>
      <c r="E6" s="5">
        <v>40</v>
      </c>
      <c r="F6" s="5" t="str">
        <f t="shared" si="2"/>
        <v>Pass</v>
      </c>
      <c r="G6" s="12" t="str" cm="1">
        <f t="array" ref="G6">_xlfn.IFS(E6&gt;=90,"A",E6&gt;=75,"B",E6&gt;=60,"C",E6&gt;=40,"D",E6&lt;40,"Fail")</f>
        <v>D</v>
      </c>
      <c r="H6" s="5" t="s">
        <v>11</v>
      </c>
      <c r="I6" s="6"/>
      <c r="J6" s="11" t="str">
        <f t="shared" si="3"/>
        <v>Blank</v>
      </c>
    </row>
    <row r="7" spans="1:15">
      <c r="A7" s="4" t="s">
        <v>21</v>
      </c>
      <c r="B7" s="14" t="str">
        <f t="shared" si="0"/>
        <v>Arjun R</v>
      </c>
      <c r="C7" s="5" t="s">
        <v>22</v>
      </c>
      <c r="D7" s="5">
        <f t="shared" si="1"/>
        <v>7</v>
      </c>
      <c r="E7" s="5">
        <v>29</v>
      </c>
      <c r="F7" s="5" t="str">
        <f t="shared" si="2"/>
        <v>Fail</v>
      </c>
      <c r="G7" s="12" t="str" cm="1">
        <f t="array" ref="G7">_xlfn.IFS(E7&gt;=90,"A",E7&gt;=75,"B",E7&gt;=60,"C",E7&gt;=40,"D",E7&lt;40,"Fail")</f>
        <v>Fail</v>
      </c>
      <c r="H7" s="5" t="s">
        <v>14</v>
      </c>
      <c r="I7" s="6">
        <v>91777777777</v>
      </c>
      <c r="J7" s="11" t="str">
        <f t="shared" si="3"/>
        <v>Not Blank</v>
      </c>
    </row>
    <row r="8" spans="1:15">
      <c r="A8" s="4" t="s">
        <v>23</v>
      </c>
      <c r="B8" s="14" t="str">
        <f t="shared" si="0"/>
        <v>Neha S</v>
      </c>
      <c r="C8" s="5" t="s">
        <v>24</v>
      </c>
      <c r="D8" s="5">
        <f t="shared" si="1"/>
        <v>7</v>
      </c>
      <c r="E8" s="5">
        <v>88</v>
      </c>
      <c r="F8" s="5" t="str">
        <f t="shared" si="2"/>
        <v>Pass</v>
      </c>
      <c r="G8" s="12" t="str" cm="1">
        <f t="array" ref="G8">_xlfn.IFS(E8&gt;=90,"A",E8&gt;=75,"B",E8&gt;=60,"C",E8&gt;=40,"D",E8&lt;40,"Fail")</f>
        <v>B</v>
      </c>
      <c r="H8" s="5" t="s">
        <v>11</v>
      </c>
      <c r="I8" s="6">
        <v>91666666666</v>
      </c>
      <c r="J8" s="11" t="str">
        <f t="shared" si="3"/>
        <v>Not Blank</v>
      </c>
      <c r="K8" t="s">
        <v>25</v>
      </c>
      <c r="L8" t="s">
        <v>26</v>
      </c>
      <c r="N8" t="s">
        <v>6</v>
      </c>
      <c r="O8" t="s">
        <v>11</v>
      </c>
    </row>
    <row r="9" spans="1:15">
      <c r="A9" s="4" t="s">
        <v>27</v>
      </c>
      <c r="B9" s="14" t="str">
        <f t="shared" si="0"/>
        <v>Kiran M</v>
      </c>
      <c r="C9" s="5" t="s">
        <v>28</v>
      </c>
      <c r="D9" s="5">
        <f t="shared" si="1"/>
        <v>8</v>
      </c>
      <c r="E9" s="5">
        <v>56</v>
      </c>
      <c r="F9" s="5" t="str">
        <f t="shared" si="2"/>
        <v>Pass</v>
      </c>
      <c r="G9" s="12" t="str" cm="1">
        <f t="array" ref="G9">_xlfn.IFS(E9&gt;=90,"A",E9&gt;=75,"B",E9&gt;=60,"C",E9&gt;=40,"D",E9&lt;40,"Fail")</f>
        <v>D</v>
      </c>
      <c r="H9" s="5" t="s">
        <v>14</v>
      </c>
      <c r="I9" s="6"/>
      <c r="J9" s="11" t="str">
        <f t="shared" si="3"/>
        <v>Blank</v>
      </c>
      <c r="K9" t="s">
        <v>29</v>
      </c>
      <c r="L9">
        <f>COUNTIF(F2:F49,L8)</f>
        <v>39</v>
      </c>
      <c r="N9" t="s">
        <v>3</v>
      </c>
      <c r="O9" t="s">
        <v>30</v>
      </c>
    </row>
    <row r="10" spans="1:15">
      <c r="A10" s="4" t="s">
        <v>31</v>
      </c>
      <c r="B10" s="14" t="str">
        <f t="shared" si="0"/>
        <v>Anand T</v>
      </c>
      <c r="C10" s="5" t="s">
        <v>32</v>
      </c>
      <c r="D10" s="5">
        <f t="shared" si="1"/>
        <v>8</v>
      </c>
      <c r="E10" s="5">
        <v>73</v>
      </c>
      <c r="F10" s="5" t="str">
        <f t="shared" si="2"/>
        <v>Pass</v>
      </c>
      <c r="G10" s="12" t="str" cm="1">
        <f t="array" ref="G10">_xlfn.IFS(E10&gt;=90,"A",E10&gt;=75,"B",E10&gt;=60,"C",E10&gt;=40,"D",E10&lt;40,"Fail")</f>
        <v>C</v>
      </c>
      <c r="H10" s="5" t="s">
        <v>11</v>
      </c>
      <c r="I10" s="6">
        <v>91999999999</v>
      </c>
      <c r="J10" s="11" t="str">
        <f t="shared" si="3"/>
        <v>Not Blank</v>
      </c>
      <c r="N10" t="s">
        <v>29</v>
      </c>
      <c r="O10">
        <f>COUNTIFS(H2:H49,O8,E2:E49,O9)</f>
        <v>13</v>
      </c>
    </row>
    <row r="11" spans="1:15">
      <c r="A11" s="4" t="s">
        <v>33</v>
      </c>
      <c r="B11" s="14" t="str">
        <f t="shared" si="0"/>
        <v>Divya R</v>
      </c>
      <c r="C11" s="5" t="s">
        <v>34</v>
      </c>
      <c r="D11" s="5">
        <f t="shared" si="1"/>
        <v>8</v>
      </c>
      <c r="E11" s="5">
        <v>39</v>
      </c>
      <c r="F11" s="5" t="str">
        <f t="shared" si="2"/>
        <v>Fail</v>
      </c>
      <c r="G11" s="12" t="str" cm="1">
        <f t="array" ref="G11">_xlfn.IFS(E11&gt;=90,"A",E11&gt;=75,"B",E11&gt;=60,"C",E11&gt;=40,"D",E11&lt;40,"Fail")</f>
        <v>Fail</v>
      </c>
      <c r="H11" s="5" t="s">
        <v>14</v>
      </c>
      <c r="I11" s="6"/>
      <c r="J11" s="11" t="str">
        <f t="shared" si="3"/>
        <v>Blank</v>
      </c>
    </row>
    <row r="12" spans="1:15">
      <c r="A12" s="4" t="s">
        <v>35</v>
      </c>
      <c r="B12" s="14" t="str">
        <f t="shared" si="0"/>
        <v>Suresh K</v>
      </c>
      <c r="C12" s="5" t="s">
        <v>36</v>
      </c>
      <c r="D12" s="5">
        <f t="shared" si="1"/>
        <v>9</v>
      </c>
      <c r="E12" s="5">
        <v>81</v>
      </c>
      <c r="F12" s="5" t="str">
        <f t="shared" si="2"/>
        <v>Pass</v>
      </c>
      <c r="G12" s="12" t="str" cm="1">
        <f t="array" ref="G12">_xlfn.IFS(E12&gt;=90,"A",E12&gt;=75,"B",E12&gt;=60,"C",E12&gt;=40,"D",E12&lt;40,"Fail")</f>
        <v>B</v>
      </c>
      <c r="H12" s="5" t="s">
        <v>11</v>
      </c>
      <c r="I12" s="6">
        <v>91818181818</v>
      </c>
      <c r="J12" s="11" t="str">
        <f t="shared" si="3"/>
        <v>Not Blank</v>
      </c>
    </row>
    <row r="13" spans="1:15">
      <c r="A13" s="4" t="s">
        <v>37</v>
      </c>
      <c r="B13" s="14" t="str">
        <f t="shared" si="0"/>
        <v>Pooja M</v>
      </c>
      <c r="C13" s="5" t="s">
        <v>38</v>
      </c>
      <c r="D13" s="5">
        <f t="shared" si="1"/>
        <v>8</v>
      </c>
      <c r="E13" s="5">
        <v>65</v>
      </c>
      <c r="F13" s="5" t="str">
        <f t="shared" si="2"/>
        <v>Pass</v>
      </c>
      <c r="G13" s="12" t="str" cm="1">
        <f t="array" ref="G13">_xlfn.IFS(E13&gt;=90,"A",E13&gt;=75,"B",E13&gt;=60,"C",E13&gt;=40,"D",E13&lt;40,"Fail")</f>
        <v>C</v>
      </c>
      <c r="H13" s="5" t="s">
        <v>14</v>
      </c>
      <c r="I13" s="6"/>
      <c r="J13" s="11" t="str">
        <f t="shared" si="3"/>
        <v>Blank</v>
      </c>
    </row>
    <row r="14" spans="1:15">
      <c r="A14" s="4" t="s">
        <v>39</v>
      </c>
      <c r="B14" s="14" t="str">
        <f t="shared" si="0"/>
        <v>Rahul S</v>
      </c>
      <c r="C14" s="5" t="s">
        <v>40</v>
      </c>
      <c r="D14" s="5">
        <f t="shared" si="1"/>
        <v>8</v>
      </c>
      <c r="E14" s="5">
        <v>54</v>
      </c>
      <c r="F14" s="5" t="str">
        <f t="shared" si="2"/>
        <v>Pass</v>
      </c>
      <c r="G14" s="12" t="str" cm="1">
        <f t="array" ref="G14">_xlfn.IFS(E14&gt;=90,"A",E14&gt;=75,"B",E14&gt;=60,"C",E14&gt;=40,"D",E14&lt;40,"Fail")</f>
        <v>D</v>
      </c>
      <c r="H14" s="5" t="s">
        <v>11</v>
      </c>
      <c r="I14" s="6">
        <v>91717171717</v>
      </c>
      <c r="J14" s="11" t="str">
        <f t="shared" si="3"/>
        <v>Not Blank</v>
      </c>
    </row>
    <row r="15" spans="1:15">
      <c r="A15" s="4" t="s">
        <v>41</v>
      </c>
      <c r="B15" s="14" t="str">
        <f t="shared" si="0"/>
        <v>Kavya N</v>
      </c>
      <c r="C15" s="5" t="s">
        <v>42</v>
      </c>
      <c r="D15" s="5">
        <f t="shared" si="1"/>
        <v>8</v>
      </c>
      <c r="E15" s="5">
        <v>91</v>
      </c>
      <c r="F15" s="5" t="str">
        <f t="shared" si="2"/>
        <v>Pass</v>
      </c>
      <c r="G15" s="12" t="str" cm="1">
        <f t="array" ref="G15">_xlfn.IFS(E15&gt;=90,"A",E15&gt;=75,"B",E15&gt;=60,"C",E15&gt;=40,"D",E15&lt;40,"Fail")</f>
        <v>A</v>
      </c>
      <c r="H15" s="5" t="s">
        <v>14</v>
      </c>
      <c r="I15" s="6">
        <v>91616161616</v>
      </c>
      <c r="J15" s="11" t="str">
        <f t="shared" si="3"/>
        <v>Not Blank</v>
      </c>
    </row>
    <row r="16" spans="1:15">
      <c r="A16" s="4" t="s">
        <v>43</v>
      </c>
      <c r="B16" s="14" t="str">
        <f t="shared" si="0"/>
        <v>Manoj P</v>
      </c>
      <c r="C16" s="5" t="s">
        <v>44</v>
      </c>
      <c r="D16" s="5">
        <f t="shared" si="1"/>
        <v>8</v>
      </c>
      <c r="E16" s="5">
        <v>33</v>
      </c>
      <c r="F16" s="5" t="str">
        <f t="shared" si="2"/>
        <v>Fail</v>
      </c>
      <c r="G16" s="12" t="str" cm="1">
        <f t="array" ref="G16">_xlfn.IFS(E16&gt;=90,"A",E16&gt;=75,"B",E16&gt;=60,"C",E16&gt;=40,"D",E16&lt;40,"Fail")</f>
        <v>Fail</v>
      </c>
      <c r="H16" s="5" t="s">
        <v>11</v>
      </c>
      <c r="I16" s="6"/>
      <c r="J16" s="11" t="str">
        <f t="shared" si="3"/>
        <v>Blank</v>
      </c>
    </row>
    <row r="17" spans="1:10">
      <c r="A17" s="4" t="s">
        <v>45</v>
      </c>
      <c r="B17" s="14" t="str">
        <f t="shared" si="0"/>
        <v>Swathi R</v>
      </c>
      <c r="C17" s="5" t="s">
        <v>46</v>
      </c>
      <c r="D17" s="5">
        <f t="shared" si="1"/>
        <v>9</v>
      </c>
      <c r="E17" s="5">
        <v>76</v>
      </c>
      <c r="F17" s="5" t="str">
        <f t="shared" si="2"/>
        <v>Pass</v>
      </c>
      <c r="G17" s="12" t="str" cm="1">
        <f t="array" ref="G17">_xlfn.IFS(E17&gt;=90,"A",E17&gt;=75,"B",E17&gt;=60,"C",E17&gt;=40,"D",E17&lt;40,"Fail")</f>
        <v>B</v>
      </c>
      <c r="H17" s="5" t="s">
        <v>14</v>
      </c>
      <c r="I17" s="6">
        <v>91515151515</v>
      </c>
      <c r="J17" s="11" t="str">
        <f t="shared" si="3"/>
        <v>Not Blank</v>
      </c>
    </row>
    <row r="18" spans="1:10">
      <c r="A18" s="4" t="s">
        <v>47</v>
      </c>
      <c r="B18" s="14" t="str">
        <f t="shared" si="0"/>
        <v>Ajay K</v>
      </c>
      <c r="C18" s="5" t="s">
        <v>48</v>
      </c>
      <c r="D18" s="5">
        <f t="shared" si="1"/>
        <v>7</v>
      </c>
      <c r="E18" s="5">
        <v>42</v>
      </c>
      <c r="F18" s="5" t="str">
        <f t="shared" si="2"/>
        <v>Pass</v>
      </c>
      <c r="G18" s="12" t="str" cm="1">
        <f t="array" ref="G18">_xlfn.IFS(E18&gt;=90,"A",E18&gt;=75,"B",E18&gt;=60,"C",E18&gt;=40,"D",E18&lt;40,"Fail")</f>
        <v>D</v>
      </c>
      <c r="H18" s="5" t="s">
        <v>11</v>
      </c>
      <c r="I18" s="6"/>
      <c r="J18" s="11" t="str">
        <f t="shared" si="3"/>
        <v>Blank</v>
      </c>
    </row>
    <row r="19" spans="1:10">
      <c r="A19" s="4" t="s">
        <v>49</v>
      </c>
      <c r="B19" s="14" t="str">
        <f t="shared" si="0"/>
        <v>Sneha M</v>
      </c>
      <c r="C19" s="5" t="s">
        <v>50</v>
      </c>
      <c r="D19" s="5">
        <f t="shared" si="1"/>
        <v>8</v>
      </c>
      <c r="E19" s="5">
        <v>58</v>
      </c>
      <c r="F19" s="5" t="str">
        <f t="shared" si="2"/>
        <v>Pass</v>
      </c>
      <c r="G19" s="12" t="str" cm="1">
        <f t="array" ref="G19">_xlfn.IFS(E19&gt;=90,"A",E19&gt;=75,"B",E19&gt;=60,"C",E19&gt;=40,"D",E19&lt;40,"Fail")</f>
        <v>D</v>
      </c>
      <c r="H19" s="5" t="s">
        <v>14</v>
      </c>
      <c r="I19" s="6">
        <v>91414141414</v>
      </c>
      <c r="J19" s="11" t="str">
        <f t="shared" si="3"/>
        <v>Not Blank</v>
      </c>
    </row>
    <row r="20" spans="1:10">
      <c r="A20" s="4" t="s">
        <v>51</v>
      </c>
      <c r="B20" s="14" t="str">
        <f t="shared" si="0"/>
        <v>Prakash S</v>
      </c>
      <c r="C20" s="5" t="s">
        <v>52</v>
      </c>
      <c r="D20" s="5">
        <f t="shared" si="1"/>
        <v>10</v>
      </c>
      <c r="E20" s="5">
        <v>69</v>
      </c>
      <c r="F20" s="5" t="str">
        <f t="shared" si="2"/>
        <v>Pass</v>
      </c>
      <c r="G20" s="12" t="str" cm="1">
        <f t="array" ref="G20">_xlfn.IFS(E20&gt;=90,"A",E20&gt;=75,"B",E20&gt;=60,"C",E20&gt;=40,"D",E20&lt;40,"Fail")</f>
        <v>C</v>
      </c>
      <c r="H20" s="5" t="s">
        <v>11</v>
      </c>
      <c r="I20" s="6">
        <v>91313131313</v>
      </c>
      <c r="J20" s="11" t="str">
        <f t="shared" si="3"/>
        <v>Not Blank</v>
      </c>
    </row>
    <row r="21" spans="1:10">
      <c r="A21" s="4" t="s">
        <v>53</v>
      </c>
      <c r="B21" s="14" t="str">
        <f t="shared" si="0"/>
        <v>Nithya R</v>
      </c>
      <c r="C21" s="5" t="s">
        <v>54</v>
      </c>
      <c r="D21" s="5">
        <f t="shared" si="1"/>
        <v>9</v>
      </c>
      <c r="E21" s="5">
        <v>47</v>
      </c>
      <c r="F21" s="5" t="str">
        <f t="shared" si="2"/>
        <v>Pass</v>
      </c>
      <c r="G21" s="12" t="str" cm="1">
        <f t="array" ref="G21">_xlfn.IFS(E21&gt;=90,"A",E21&gt;=75,"B",E21&gt;=60,"C",E21&gt;=40,"D",E21&lt;40,"Fail")</f>
        <v>D</v>
      </c>
      <c r="H21" s="5" t="s">
        <v>14</v>
      </c>
      <c r="I21" s="6"/>
      <c r="J21" s="11" t="str">
        <f t="shared" si="3"/>
        <v>Blank</v>
      </c>
    </row>
    <row r="22" spans="1:10">
      <c r="A22" s="4" t="s">
        <v>55</v>
      </c>
      <c r="B22" s="14" t="str">
        <f t="shared" si="0"/>
        <v>Rohit K</v>
      </c>
      <c r="C22" s="5" t="s">
        <v>56</v>
      </c>
      <c r="D22" s="5">
        <f t="shared" si="1"/>
        <v>8</v>
      </c>
      <c r="E22" s="5">
        <v>85</v>
      </c>
      <c r="F22" s="5" t="str">
        <f t="shared" si="2"/>
        <v>Pass</v>
      </c>
      <c r="G22" s="12" t="str" cm="1">
        <f t="array" ref="G22">_xlfn.IFS(E22&gt;=90,"A",E22&gt;=75,"B",E22&gt;=60,"C",E22&gt;=40,"D",E22&lt;40,"Fail")</f>
        <v>B</v>
      </c>
      <c r="H22" s="5" t="s">
        <v>11</v>
      </c>
      <c r="I22" s="6">
        <v>91212121212</v>
      </c>
      <c r="J22" s="11" t="str">
        <f t="shared" si="3"/>
        <v>Not Blank</v>
      </c>
    </row>
    <row r="23" spans="1:10">
      <c r="A23" s="4" t="s">
        <v>57</v>
      </c>
      <c r="B23" s="14" t="str">
        <f t="shared" si="0"/>
        <v>Aishwarya P</v>
      </c>
      <c r="C23" s="5" t="s">
        <v>58</v>
      </c>
      <c r="D23" s="5">
        <f t="shared" si="1"/>
        <v>7</v>
      </c>
      <c r="E23" s="5">
        <v>90</v>
      </c>
      <c r="F23" s="5" t="str">
        <f t="shared" si="2"/>
        <v>Pass</v>
      </c>
      <c r="G23" s="12" t="str" cm="1">
        <f t="array" ref="G23">_xlfn.IFS(E23&gt;=90,"A",E23&gt;=75,"B",E23&gt;=60,"C",E23&gt;=40,"D",E23&lt;40,"Fail")</f>
        <v>A</v>
      </c>
      <c r="H23" s="5" t="s">
        <v>14</v>
      </c>
      <c r="I23" s="6">
        <v>91111111111</v>
      </c>
      <c r="J23" s="11" t="str">
        <f t="shared" si="3"/>
        <v>Not Blank</v>
      </c>
    </row>
    <row r="24" spans="1:10">
      <c r="A24" s="4" t="s">
        <v>59</v>
      </c>
      <c r="B24" s="14" t="str">
        <f t="shared" si="0"/>
        <v>Sanjay M</v>
      </c>
      <c r="C24" s="5" t="s">
        <v>60</v>
      </c>
      <c r="D24" s="5">
        <f t="shared" si="1"/>
        <v>9</v>
      </c>
      <c r="E24" s="5">
        <v>31</v>
      </c>
      <c r="F24" s="5" t="str">
        <f t="shared" si="2"/>
        <v>Fail</v>
      </c>
      <c r="G24" s="12" t="str" cm="1">
        <f t="array" ref="G24">_xlfn.IFS(E24&gt;=90,"A",E24&gt;=75,"B",E24&gt;=60,"C",E24&gt;=40,"D",E24&lt;40,"Fail")</f>
        <v>Fail</v>
      </c>
      <c r="H24" s="5" t="s">
        <v>11</v>
      </c>
      <c r="I24" s="6"/>
      <c r="J24" s="11" t="str">
        <f t="shared" si="3"/>
        <v>Blank</v>
      </c>
    </row>
    <row r="25" spans="1:10">
      <c r="A25" s="4" t="s">
        <v>61</v>
      </c>
      <c r="B25" s="14" t="str">
        <f t="shared" si="0"/>
        <v>Bhavya R</v>
      </c>
      <c r="C25" s="5" t="s">
        <v>62</v>
      </c>
      <c r="D25" s="5">
        <f t="shared" si="1"/>
        <v>9</v>
      </c>
      <c r="E25" s="5">
        <v>64</v>
      </c>
      <c r="F25" s="5" t="str">
        <f t="shared" si="2"/>
        <v>Pass</v>
      </c>
      <c r="G25" s="12" t="str" cm="1">
        <f t="array" ref="G25">_xlfn.IFS(E25&gt;=90,"A",E25&gt;=75,"B",E25&gt;=60,"C",E25&gt;=40,"D",E25&lt;40,"Fail")</f>
        <v>C</v>
      </c>
      <c r="H25" s="5" t="s">
        <v>14</v>
      </c>
      <c r="I25" s="6">
        <v>91919191919</v>
      </c>
      <c r="J25" s="11" t="str">
        <f t="shared" si="3"/>
        <v>Not Blank</v>
      </c>
    </row>
    <row r="26" spans="1:10">
      <c r="A26" s="4" t="s">
        <v>63</v>
      </c>
      <c r="B26" s="14" t="str">
        <f t="shared" si="0"/>
        <v>Vignesh K</v>
      </c>
      <c r="C26" s="5" t="s">
        <v>64</v>
      </c>
      <c r="D26" s="5">
        <f t="shared" si="1"/>
        <v>10</v>
      </c>
      <c r="E26" s="5">
        <v>72</v>
      </c>
      <c r="F26" s="5" t="str">
        <f t="shared" si="2"/>
        <v>Pass</v>
      </c>
      <c r="G26" s="12" t="str" cm="1">
        <f t="array" ref="G26">_xlfn.IFS(E26&gt;=90,"A",E26&gt;=75,"B",E26&gt;=60,"C",E26&gt;=40,"D",E26&lt;40,"Fail")</f>
        <v>C</v>
      </c>
      <c r="H26" s="5" t="s">
        <v>11</v>
      </c>
      <c r="I26" s="6"/>
      <c r="J26" s="11" t="str">
        <f t="shared" si="3"/>
        <v>Blank</v>
      </c>
    </row>
    <row r="27" spans="1:10">
      <c r="A27" s="4" t="s">
        <v>65</v>
      </c>
      <c r="B27" s="14" t="str">
        <f t="shared" si="0"/>
        <v>Priya S</v>
      </c>
      <c r="C27" s="5" t="s">
        <v>66</v>
      </c>
      <c r="D27" s="5">
        <f t="shared" si="1"/>
        <v>8</v>
      </c>
      <c r="E27" s="5">
        <v>55</v>
      </c>
      <c r="F27" s="5" t="str">
        <f t="shared" si="2"/>
        <v>Pass</v>
      </c>
      <c r="G27" s="12" t="str" cm="1">
        <f t="array" ref="G27">_xlfn.IFS(E27&gt;=90,"A",E27&gt;=75,"B",E27&gt;=60,"C",E27&gt;=40,"D",E27&lt;40,"Fail")</f>
        <v>D</v>
      </c>
      <c r="H27" s="5" t="s">
        <v>14</v>
      </c>
      <c r="I27" s="6">
        <v>91818181212</v>
      </c>
      <c r="J27" s="11" t="str">
        <f t="shared" si="3"/>
        <v>Not Blank</v>
      </c>
    </row>
    <row r="28" spans="1:10">
      <c r="A28" s="4" t="s">
        <v>67</v>
      </c>
      <c r="B28" s="14" t="str">
        <f t="shared" si="0"/>
        <v>Karthik M</v>
      </c>
      <c r="C28" s="5" t="s">
        <v>68</v>
      </c>
      <c r="D28" s="5">
        <f t="shared" si="1"/>
        <v>10</v>
      </c>
      <c r="E28" s="5">
        <v>38</v>
      </c>
      <c r="F28" s="5" t="str">
        <f t="shared" si="2"/>
        <v>Fail</v>
      </c>
      <c r="G28" s="12" t="str" cm="1">
        <f t="array" ref="G28">_xlfn.IFS(E28&gt;=90,"A",E28&gt;=75,"B",E28&gt;=60,"C",E28&gt;=40,"D",E28&lt;40,"Fail")</f>
        <v>Fail</v>
      </c>
      <c r="H28" s="5" t="s">
        <v>11</v>
      </c>
      <c r="I28" s="6"/>
      <c r="J28" s="11" t="str">
        <f t="shared" si="3"/>
        <v>Blank</v>
      </c>
    </row>
    <row r="29" spans="1:10">
      <c r="A29" s="4" t="s">
        <v>69</v>
      </c>
      <c r="B29" s="14" t="str">
        <f t="shared" si="0"/>
        <v>Harini R</v>
      </c>
      <c r="C29" s="5" t="s">
        <v>70</v>
      </c>
      <c r="D29" s="5">
        <f t="shared" si="1"/>
        <v>9</v>
      </c>
      <c r="E29" s="5">
        <v>79</v>
      </c>
      <c r="F29" s="5" t="str">
        <f t="shared" si="2"/>
        <v>Pass</v>
      </c>
      <c r="G29" s="12" t="str" cm="1">
        <f t="array" ref="G29">_xlfn.IFS(E29&gt;=90,"A",E29&gt;=75,"B",E29&gt;=60,"C",E29&gt;=40,"D",E29&lt;40,"Fail")</f>
        <v>B</v>
      </c>
      <c r="H29" s="5" t="s">
        <v>14</v>
      </c>
      <c r="I29" s="6">
        <v>91717171212</v>
      </c>
      <c r="J29" s="11" t="str">
        <f t="shared" si="3"/>
        <v>Not Blank</v>
      </c>
    </row>
    <row r="30" spans="1:10">
      <c r="A30" s="4" t="s">
        <v>71</v>
      </c>
      <c r="B30" s="14" t="str">
        <f t="shared" si="0"/>
        <v>Naveen P</v>
      </c>
      <c r="C30" s="5" t="s">
        <v>72</v>
      </c>
      <c r="D30" s="5">
        <f t="shared" si="1"/>
        <v>9</v>
      </c>
      <c r="E30" s="5">
        <v>66</v>
      </c>
      <c r="F30" s="5" t="str">
        <f t="shared" si="2"/>
        <v>Pass</v>
      </c>
      <c r="G30" s="12" t="str" cm="1">
        <f t="array" ref="G30">_xlfn.IFS(E30&gt;=90,"A",E30&gt;=75,"B",E30&gt;=60,"C",E30&gt;=40,"D",E30&lt;40,"Fail")</f>
        <v>C</v>
      </c>
      <c r="H30" s="5" t="s">
        <v>11</v>
      </c>
      <c r="I30" s="6">
        <v>91616161212</v>
      </c>
      <c r="J30" s="11" t="str">
        <f t="shared" si="3"/>
        <v>Not Blank</v>
      </c>
    </row>
    <row r="31" spans="1:10">
      <c r="A31" s="4" t="s">
        <v>73</v>
      </c>
      <c r="B31" s="14" t="str">
        <f t="shared" si="0"/>
        <v>Lakshmi S</v>
      </c>
      <c r="C31" s="5" t="s">
        <v>74</v>
      </c>
      <c r="D31" s="5">
        <f t="shared" si="1"/>
        <v>10</v>
      </c>
      <c r="E31" s="5">
        <v>44</v>
      </c>
      <c r="F31" s="5" t="str">
        <f t="shared" si="2"/>
        <v>Pass</v>
      </c>
      <c r="G31" s="12" t="str" cm="1">
        <f t="array" ref="G31">_xlfn.IFS(E31&gt;=90,"A",E31&gt;=75,"B",E31&gt;=60,"C",E31&gt;=40,"D",E31&lt;40,"Fail")</f>
        <v>D</v>
      </c>
      <c r="H31" s="5" t="s">
        <v>14</v>
      </c>
      <c r="I31" s="6"/>
      <c r="J31" s="11" t="str">
        <f t="shared" si="3"/>
        <v>Blank</v>
      </c>
    </row>
    <row r="32" spans="1:10">
      <c r="A32" s="4" t="s">
        <v>75</v>
      </c>
      <c r="B32" s="14" t="str">
        <f t="shared" si="0"/>
        <v>Dinesh K</v>
      </c>
      <c r="C32" s="5" t="s">
        <v>76</v>
      </c>
      <c r="D32" s="5">
        <f t="shared" si="1"/>
        <v>9</v>
      </c>
      <c r="E32" s="5">
        <v>83</v>
      </c>
      <c r="F32" s="5" t="str">
        <f t="shared" si="2"/>
        <v>Pass</v>
      </c>
      <c r="G32" s="12" t="str" cm="1">
        <f t="array" ref="G32">_xlfn.IFS(E32&gt;=90,"A",E32&gt;=75,"B",E32&gt;=60,"C",E32&gt;=40,"D",E32&lt;40,"Fail")</f>
        <v>B</v>
      </c>
      <c r="H32" s="5" t="s">
        <v>11</v>
      </c>
      <c r="I32" s="6">
        <v>91515151212</v>
      </c>
      <c r="J32" s="11" t="str">
        <f t="shared" si="3"/>
        <v>Not Blank</v>
      </c>
    </row>
    <row r="33" spans="1:10">
      <c r="A33" s="4" t="s">
        <v>77</v>
      </c>
      <c r="B33" s="14" t="str">
        <f t="shared" si="0"/>
        <v>Revathi M</v>
      </c>
      <c r="C33" s="5" t="s">
        <v>78</v>
      </c>
      <c r="D33" s="5">
        <f t="shared" si="1"/>
        <v>10</v>
      </c>
      <c r="E33" s="5">
        <v>59</v>
      </c>
      <c r="F33" s="5" t="str">
        <f t="shared" si="2"/>
        <v>Pass</v>
      </c>
      <c r="G33" s="12" t="str" cm="1">
        <f t="array" ref="G33">_xlfn.IFS(E33&gt;=90,"A",E33&gt;=75,"B",E33&gt;=60,"C",E33&gt;=40,"D",E33&lt;40,"Fail")</f>
        <v>D</v>
      </c>
      <c r="H33" s="5" t="s">
        <v>14</v>
      </c>
      <c r="I33" s="6"/>
      <c r="J33" s="11" t="str">
        <f t="shared" si="3"/>
        <v>Blank</v>
      </c>
    </row>
    <row r="34" spans="1:10">
      <c r="A34" s="4" t="s">
        <v>79</v>
      </c>
      <c r="B34" s="14" t="str">
        <f t="shared" si="0"/>
        <v>Balaji R</v>
      </c>
      <c r="C34" s="5" t="s">
        <v>80</v>
      </c>
      <c r="D34" s="5">
        <f t="shared" si="1"/>
        <v>9</v>
      </c>
      <c r="E34" s="5">
        <v>27</v>
      </c>
      <c r="F34" s="5" t="str">
        <f t="shared" si="2"/>
        <v>Fail</v>
      </c>
      <c r="G34" s="12" t="str" cm="1">
        <f t="array" ref="G34">_xlfn.IFS(E34&gt;=90,"A",E34&gt;=75,"B",E34&gt;=60,"C",E34&gt;=40,"D",E34&lt;40,"Fail")</f>
        <v>Fail</v>
      </c>
      <c r="H34" s="5" t="s">
        <v>11</v>
      </c>
      <c r="I34" s="6"/>
      <c r="J34" s="11" t="str">
        <f t="shared" si="3"/>
        <v>Blank</v>
      </c>
    </row>
    <row r="35" spans="1:10">
      <c r="A35" s="4" t="s">
        <v>81</v>
      </c>
      <c r="B35" s="14" t="str">
        <f t="shared" si="0"/>
        <v>Keerthana S</v>
      </c>
      <c r="C35" s="5" t="s">
        <v>82</v>
      </c>
      <c r="D35" s="5">
        <f t="shared" si="1"/>
        <v>12</v>
      </c>
      <c r="E35" s="5">
        <v>71</v>
      </c>
      <c r="F35" s="5" t="str">
        <f t="shared" si="2"/>
        <v>Pass</v>
      </c>
      <c r="G35" s="12" t="str" cm="1">
        <f t="array" ref="G35">_xlfn.IFS(E35&gt;=90,"A",E35&gt;=75,"B",E35&gt;=60,"C",E35&gt;=40,"D",E35&lt;40,"Fail")</f>
        <v>C</v>
      </c>
      <c r="H35" s="5" t="s">
        <v>14</v>
      </c>
      <c r="I35" s="6">
        <v>91414141212</v>
      </c>
      <c r="J35" s="11" t="str">
        <f t="shared" si="3"/>
        <v>Not Blank</v>
      </c>
    </row>
    <row r="36" spans="1:10">
      <c r="A36" s="4" t="s">
        <v>83</v>
      </c>
      <c r="B36" s="14" t="str">
        <f t="shared" si="0"/>
        <v>Mohan P</v>
      </c>
      <c r="C36" s="5" t="s">
        <v>84</v>
      </c>
      <c r="D36" s="5">
        <f t="shared" si="1"/>
        <v>8</v>
      </c>
      <c r="E36" s="5">
        <v>62</v>
      </c>
      <c r="F36" s="5" t="str">
        <f t="shared" si="2"/>
        <v>Pass</v>
      </c>
      <c r="G36" s="12" t="str" cm="1">
        <f t="array" ref="G36">_xlfn.IFS(E36&gt;=90,"A",E36&gt;=75,"B",E36&gt;=60,"C",E36&gt;=40,"D",E36&lt;40,"Fail")</f>
        <v>C</v>
      </c>
      <c r="H36" s="5" t="s">
        <v>11</v>
      </c>
      <c r="I36" s="6"/>
      <c r="J36" s="11" t="str">
        <f t="shared" si="3"/>
        <v>Blank</v>
      </c>
    </row>
    <row r="37" spans="1:10">
      <c r="A37" s="4" t="s">
        <v>85</v>
      </c>
      <c r="B37" s="14" t="str">
        <f t="shared" si="0"/>
        <v>Sandhya R</v>
      </c>
      <c r="C37" s="5" t="s">
        <v>86</v>
      </c>
      <c r="D37" s="5">
        <f t="shared" si="1"/>
        <v>10</v>
      </c>
      <c r="E37" s="5">
        <v>95</v>
      </c>
      <c r="F37" s="5" t="str">
        <f t="shared" si="2"/>
        <v>Pass</v>
      </c>
      <c r="G37" s="12" t="str" cm="1">
        <f t="array" ref="G37">_xlfn.IFS(E37&gt;=90,"A",E37&gt;=75,"B",E37&gt;=60,"C",E37&gt;=40,"D",E37&lt;40,"Fail")</f>
        <v>A</v>
      </c>
      <c r="H37" s="5" t="s">
        <v>14</v>
      </c>
      <c r="I37" s="6">
        <v>91313131212</v>
      </c>
      <c r="J37" s="11" t="str">
        <f t="shared" si="3"/>
        <v>Not Blank</v>
      </c>
    </row>
    <row r="38" spans="1:10">
      <c r="A38" s="4" t="s">
        <v>87</v>
      </c>
      <c r="B38" s="14" t="str">
        <f t="shared" si="0"/>
        <v>Ramesh K</v>
      </c>
      <c r="C38" s="5" t="s">
        <v>88</v>
      </c>
      <c r="D38" s="5">
        <f t="shared" si="1"/>
        <v>9</v>
      </c>
      <c r="E38" s="5">
        <v>41</v>
      </c>
      <c r="F38" s="5" t="str">
        <f t="shared" si="2"/>
        <v>Pass</v>
      </c>
      <c r="G38" s="12" t="str" cm="1">
        <f t="array" ref="G38">_xlfn.IFS(E38&gt;=90,"A",E38&gt;=75,"B",E38&gt;=60,"C",E38&gt;=40,"D",E38&lt;40,"Fail")</f>
        <v>D</v>
      </c>
      <c r="H38" s="5" t="s">
        <v>11</v>
      </c>
      <c r="I38" s="6"/>
      <c r="J38" s="11" t="str">
        <f t="shared" si="3"/>
        <v>Blank</v>
      </c>
    </row>
    <row r="39" spans="1:10">
      <c r="A39" s="4" t="s">
        <v>89</v>
      </c>
      <c r="B39" s="14" t="str">
        <f t="shared" si="0"/>
        <v>Anjali M</v>
      </c>
      <c r="C39" s="5" t="s">
        <v>90</v>
      </c>
      <c r="D39" s="5">
        <f t="shared" si="1"/>
        <v>9</v>
      </c>
      <c r="E39" s="5">
        <v>68</v>
      </c>
      <c r="F39" s="5" t="str">
        <f t="shared" si="2"/>
        <v>Pass</v>
      </c>
      <c r="G39" s="12" t="str" cm="1">
        <f t="array" ref="G39">_xlfn.IFS(E39&gt;=90,"A",E39&gt;=75,"B",E39&gt;=60,"C",E39&gt;=40,"D",E39&lt;40,"Fail")</f>
        <v>C</v>
      </c>
      <c r="H39" s="5" t="s">
        <v>14</v>
      </c>
      <c r="I39" s="6">
        <v>91212121299</v>
      </c>
      <c r="J39" s="11" t="str">
        <f t="shared" si="3"/>
        <v>Not Blank</v>
      </c>
    </row>
    <row r="40" spans="1:10">
      <c r="A40" s="4" t="s">
        <v>91</v>
      </c>
      <c r="B40" s="14" t="str">
        <f t="shared" si="0"/>
        <v>Siva R</v>
      </c>
      <c r="C40" s="5" t="s">
        <v>92</v>
      </c>
      <c r="D40" s="5">
        <f t="shared" si="1"/>
        <v>7</v>
      </c>
      <c r="E40" s="5">
        <v>36</v>
      </c>
      <c r="F40" s="5" t="str">
        <f t="shared" si="2"/>
        <v>Fail</v>
      </c>
      <c r="G40" s="12" t="str" cm="1">
        <f t="array" ref="G40">_xlfn.IFS(E40&gt;=90,"A",E40&gt;=75,"B",E40&gt;=60,"C",E40&gt;=40,"D",E40&lt;40,"Fail")</f>
        <v>Fail</v>
      </c>
      <c r="H40" s="5" t="s">
        <v>11</v>
      </c>
      <c r="I40" s="6"/>
      <c r="J40" s="11" t="str">
        <f t="shared" si="3"/>
        <v>Blank</v>
      </c>
    </row>
    <row r="41" spans="1:10">
      <c r="A41" s="4" t="s">
        <v>93</v>
      </c>
      <c r="B41" s="14" t="str">
        <f t="shared" si="0"/>
        <v>Deepa S</v>
      </c>
      <c r="C41" s="5" t="s">
        <v>94</v>
      </c>
      <c r="D41" s="5">
        <f t="shared" si="1"/>
        <v>8</v>
      </c>
      <c r="E41" s="5">
        <v>77</v>
      </c>
      <c r="F41" s="5" t="str">
        <f t="shared" si="2"/>
        <v>Pass</v>
      </c>
      <c r="G41" s="12" t="str" cm="1">
        <f t="array" ref="G41">_xlfn.IFS(E41&gt;=90,"A",E41&gt;=75,"B",E41&gt;=60,"C",E41&gt;=40,"D",E41&lt;40,"Fail")</f>
        <v>B</v>
      </c>
      <c r="H41" s="5" t="s">
        <v>14</v>
      </c>
      <c r="I41" s="6">
        <v>91111111222</v>
      </c>
      <c r="J41" s="11" t="str">
        <f t="shared" si="3"/>
        <v>Not Blank</v>
      </c>
    </row>
    <row r="42" spans="1:10">
      <c r="A42" s="4" t="s">
        <v>95</v>
      </c>
      <c r="B42" s="14" t="str">
        <f t="shared" si="0"/>
        <v>Hari K</v>
      </c>
      <c r="C42" s="5" t="s">
        <v>96</v>
      </c>
      <c r="D42" s="5">
        <f t="shared" si="1"/>
        <v>7</v>
      </c>
      <c r="E42" s="5">
        <v>89</v>
      </c>
      <c r="F42" s="5" t="str">
        <f t="shared" si="2"/>
        <v>Pass</v>
      </c>
      <c r="G42" s="12" t="str" cm="1">
        <f t="array" ref="G42">_xlfn.IFS(E42&gt;=90,"A",E42&gt;=75,"B",E42&gt;=60,"C",E42&gt;=40,"D",E42&lt;40,"Fail")</f>
        <v>B</v>
      </c>
      <c r="H42" s="5" t="s">
        <v>11</v>
      </c>
      <c r="I42" s="6">
        <v>91989898989</v>
      </c>
      <c r="J42" s="11" t="str">
        <f t="shared" si="3"/>
        <v>Not Blank</v>
      </c>
    </row>
    <row r="43" spans="1:10">
      <c r="A43" s="4" t="s">
        <v>97</v>
      </c>
      <c r="B43" s="14" t="str">
        <f t="shared" si="0"/>
        <v>Vaishnavi P</v>
      </c>
      <c r="C43" s="5" t="s">
        <v>98</v>
      </c>
      <c r="D43" s="5">
        <f t="shared" si="1"/>
        <v>9</v>
      </c>
      <c r="E43" s="5">
        <v>53</v>
      </c>
      <c r="F43" s="5" t="str">
        <f t="shared" si="2"/>
        <v>Pass</v>
      </c>
      <c r="G43" s="12" t="str" cm="1">
        <f t="array" ref="G43">_xlfn.IFS(E43&gt;=90,"A",E43&gt;=75,"B",E43&gt;=60,"C",E43&gt;=40,"D",E43&lt;40,"Fail")</f>
        <v>D</v>
      </c>
      <c r="H43" s="5" t="s">
        <v>14</v>
      </c>
      <c r="I43" s="6"/>
      <c r="J43" s="11" t="str">
        <f t="shared" si="3"/>
        <v>Blank</v>
      </c>
    </row>
    <row r="44" spans="1:10">
      <c r="A44" s="4" t="s">
        <v>99</v>
      </c>
      <c r="B44" s="14" t="str">
        <f t="shared" si="0"/>
        <v>Lokesh R</v>
      </c>
      <c r="C44" s="5" t="s">
        <v>100</v>
      </c>
      <c r="D44" s="5">
        <f t="shared" si="1"/>
        <v>9</v>
      </c>
      <c r="E44" s="5">
        <v>60</v>
      </c>
      <c r="F44" s="5" t="str">
        <f t="shared" si="2"/>
        <v>Pass</v>
      </c>
      <c r="G44" s="12" t="str" cm="1">
        <f t="array" ref="G44">_xlfn.IFS(E44&gt;=90,"A",E44&gt;=75,"B",E44&gt;=60,"C",E44&gt;=40,"D",E44&lt;40,"Fail")</f>
        <v>C</v>
      </c>
      <c r="H44" s="5" t="s">
        <v>11</v>
      </c>
      <c r="I44" s="6"/>
      <c r="J44" s="11" t="str">
        <f t="shared" si="3"/>
        <v>Blank</v>
      </c>
    </row>
    <row r="45" spans="1:10">
      <c r="A45" s="4" t="s">
        <v>101</v>
      </c>
      <c r="B45" s="14" t="str">
        <f t="shared" si="0"/>
        <v>Malathi S</v>
      </c>
      <c r="C45" s="5" t="s">
        <v>102</v>
      </c>
      <c r="D45" s="5">
        <f t="shared" si="1"/>
        <v>10</v>
      </c>
      <c r="E45" s="5">
        <v>48</v>
      </c>
      <c r="F45" s="5" t="str">
        <f t="shared" si="2"/>
        <v>Pass</v>
      </c>
      <c r="G45" s="12" t="str" cm="1">
        <f t="array" ref="G45">_xlfn.IFS(E45&gt;=90,"A",E45&gt;=75,"B",E45&gt;=60,"C",E45&gt;=40,"D",E45&lt;40,"Fail")</f>
        <v>D</v>
      </c>
      <c r="H45" s="5" t="s">
        <v>14</v>
      </c>
      <c r="I45" s="6"/>
      <c r="J45" s="11" t="str">
        <f t="shared" si="3"/>
        <v>Blank</v>
      </c>
    </row>
    <row r="46" spans="1:10">
      <c r="A46" s="4" t="s">
        <v>103</v>
      </c>
      <c r="B46" s="14" t="str">
        <f t="shared" si="0"/>
        <v>Naren K</v>
      </c>
      <c r="C46" s="5" t="s">
        <v>104</v>
      </c>
      <c r="D46" s="5">
        <f t="shared" si="1"/>
        <v>8</v>
      </c>
      <c r="E46" s="5">
        <v>74</v>
      </c>
      <c r="F46" s="5" t="str">
        <f t="shared" si="2"/>
        <v>Pass</v>
      </c>
      <c r="G46" s="12" t="str" cm="1">
        <f t="array" ref="G46">_xlfn.IFS(E46&gt;=90,"A",E46&gt;=75,"B",E46&gt;=60,"C",E46&gt;=40,"D",E46&lt;40,"Fail")</f>
        <v>C</v>
      </c>
      <c r="H46" s="5" t="s">
        <v>11</v>
      </c>
      <c r="I46" s="6">
        <v>91787878787</v>
      </c>
      <c r="J46" s="11" t="str">
        <f t="shared" si="3"/>
        <v>Not Blank</v>
      </c>
    </row>
    <row r="47" spans="1:10">
      <c r="A47" s="4" t="s">
        <v>105</v>
      </c>
      <c r="B47" s="14" t="str">
        <f t="shared" si="0"/>
        <v>Pankaj M</v>
      </c>
      <c r="C47" s="5" t="s">
        <v>106</v>
      </c>
      <c r="D47" s="5">
        <f t="shared" si="1"/>
        <v>9</v>
      </c>
      <c r="E47" s="5">
        <v>34</v>
      </c>
      <c r="F47" s="5" t="str">
        <f t="shared" si="2"/>
        <v>Fail</v>
      </c>
      <c r="G47" s="12" t="str" cm="1">
        <f t="array" ref="G47">_xlfn.IFS(E47&gt;=90,"A",E47&gt;=75,"B",E47&gt;=60,"C",E47&gt;=40,"D",E47&lt;40,"Fail")</f>
        <v>Fail</v>
      </c>
      <c r="H47" s="5" t="s">
        <v>14</v>
      </c>
      <c r="I47" s="6"/>
      <c r="J47" s="11" t="str">
        <f t="shared" si="3"/>
        <v>Blank</v>
      </c>
    </row>
    <row r="48" spans="1:10">
      <c r="A48" s="4" t="s">
        <v>107</v>
      </c>
      <c r="B48" s="14" t="str">
        <f t="shared" si="0"/>
        <v>Shalini R</v>
      </c>
      <c r="C48" s="5" t="s">
        <v>108</v>
      </c>
      <c r="D48" s="5">
        <f t="shared" si="1"/>
        <v>10</v>
      </c>
      <c r="E48" s="5">
        <v>82</v>
      </c>
      <c r="F48" s="5" t="str">
        <f t="shared" si="2"/>
        <v>Pass</v>
      </c>
      <c r="G48" s="12" t="str" cm="1">
        <f t="array" ref="G48">_xlfn.IFS(E48&gt;=90,"A",E48&gt;=75,"B",E48&gt;=60,"C",E48&gt;=40,"D",E48&lt;40,"Fail")</f>
        <v>B</v>
      </c>
      <c r="H48" s="5" t="s">
        <v>11</v>
      </c>
      <c r="I48" s="6">
        <v>91676767676</v>
      </c>
      <c r="J48" s="11" t="str">
        <f t="shared" si="3"/>
        <v>Not Blank</v>
      </c>
    </row>
    <row r="49" spans="1:10">
      <c r="A49" s="7" t="s">
        <v>109</v>
      </c>
      <c r="B49" s="14" t="str">
        <f t="shared" si="0"/>
        <v>Gokul P</v>
      </c>
      <c r="C49" s="8" t="s">
        <v>110</v>
      </c>
      <c r="D49" s="5">
        <f t="shared" si="1"/>
        <v>8</v>
      </c>
      <c r="E49" s="8">
        <v>57</v>
      </c>
      <c r="F49" s="5" t="str">
        <f t="shared" si="2"/>
        <v>Pass</v>
      </c>
      <c r="G49" s="12" t="str" cm="1">
        <f t="array" ref="G49">_xlfn.IFS(E49&gt;=90,"A",E49&gt;=75,"B",E49&gt;=60,"C",E49&gt;=40,"D",E49&lt;40,"Fail")</f>
        <v>D</v>
      </c>
      <c r="H49" s="8" t="s">
        <v>14</v>
      </c>
      <c r="I49" s="9"/>
      <c r="J49" s="11" t="str">
        <f t="shared" si="3"/>
        <v>Blank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2026-09-21T07:45:47Z</dcterms:created>
  <dcterms:modified xsi:type="dcterms:W3CDTF">2026-09-21T08:21:44Z</dcterms:modified>
  <cp:category/>
  <cp:contentStatus/>
</cp:coreProperties>
</file>