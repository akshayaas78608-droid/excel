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546e68571b972e/Documents/"/>
    </mc:Choice>
  </mc:AlternateContent>
  <xr:revisionPtr revIDLastSave="0" documentId="8_{2F04AF7E-BC1D-444D-8E89-AF6A8F3535BA}" xr6:coauthVersionLast="47" xr6:coauthVersionMax="47" xr10:uidLastSave="{00000000-0000-0000-0000-000000000000}"/>
  <bookViews>
    <workbookView xWindow="-108" yWindow="-108" windowWidth="23256" windowHeight="12456" xr2:uid="{5A5B347B-7479-40D3-BB15-B0E74B2D1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<sst xmlns="http://schemas.openxmlformats.org/spreadsheetml/2006/main" count="53" uniqueCount="53">
  <si>
    <t>ProjectID</t>
  </si>
  <si>
    <t>ProjectName</t>
  </si>
  <si>
    <t>StartDate_Text</t>
  </si>
  <si>
    <t>EndDate</t>
  </si>
  <si>
    <t>ShiftStart_Text</t>
  </si>
  <si>
    <t>P001</t>
  </si>
  <si>
    <t>CRM Upgrade</t>
  </si>
  <si>
    <t>P002</t>
  </si>
  <si>
    <t>Website Revamp</t>
  </si>
  <si>
    <t>P003</t>
  </si>
  <si>
    <t>Mobile App</t>
  </si>
  <si>
    <t>P004</t>
  </si>
  <si>
    <t>ERP System</t>
  </si>
  <si>
    <t>P005</t>
  </si>
  <si>
    <t>Data Migration</t>
  </si>
  <si>
    <t>P006</t>
  </si>
  <si>
    <t>AI Module</t>
  </si>
  <si>
    <t>P007</t>
  </si>
  <si>
    <t>HR Portal</t>
  </si>
  <si>
    <t>P008</t>
  </si>
  <si>
    <t>Finance Tool</t>
  </si>
  <si>
    <t>P009</t>
  </si>
  <si>
    <t>Analytics Dash</t>
  </si>
  <si>
    <t>P010</t>
  </si>
  <si>
    <t>Security Audit</t>
  </si>
  <si>
    <t>P011</t>
  </si>
  <si>
    <t>Cloud Setup</t>
  </si>
  <si>
    <t>P012</t>
  </si>
  <si>
    <t>API Gateway</t>
  </si>
  <si>
    <t>P013</t>
  </si>
  <si>
    <t>Payment System</t>
  </si>
  <si>
    <t>P014</t>
  </si>
  <si>
    <t>LMS Platform</t>
  </si>
  <si>
    <t>P015</t>
  </si>
  <si>
    <t>Inventory App</t>
  </si>
  <si>
    <t>P016</t>
  </si>
  <si>
    <t>Chatbot</t>
  </si>
  <si>
    <t>P017</t>
  </si>
  <si>
    <t>IoT Dashboard</t>
  </si>
  <si>
    <t>P018</t>
  </si>
  <si>
    <t>Marketing Tool</t>
  </si>
  <si>
    <t>P019</t>
  </si>
  <si>
    <t>Automation Tool</t>
  </si>
  <si>
    <t>P020</t>
  </si>
  <si>
    <t>Compliance App</t>
  </si>
  <si>
    <t>Start Date</t>
  </si>
  <si>
    <t>Year</t>
  </si>
  <si>
    <t>Week Day</t>
  </si>
  <si>
    <t>Month</t>
  </si>
  <si>
    <t>Shift Start</t>
  </si>
  <si>
    <t>Duration Years</t>
  </si>
  <si>
    <t>Duration Months</t>
  </si>
  <si>
    <t>More than 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</si>
</sst>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20" fontId="2" fillId="0" borderId="1" xfId="0" applyNumberFormat="1" applyFont="1" applyBorder="1" applyAlignment="1">
      <alignment horizontal="right" wrapText="1"/>
    </xf>
    <xf numFmtId="0" fontId="1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DD50-59D5-4AAF-A99D-29A91E8B86F8}">
  <dimension ref="A1:M21"/>
  <sheetViews>
    <sheetView tabSelected="1" workbookViewId="0">
      <selection activeCell="N16" sqref="N16"/>
    </sheetView>
  </sheetViews>
  <sheetFormatPr defaultRowHeight="14.4" x14ac:dyDescent="0.3"/>
  <cols>
    <col min="1" max="1" width="7.6640625" bestFit="1" customWidth="1"/>
    <col min="3" max="4" width="10.33203125" bestFit="1" customWidth="1"/>
    <col min="5" max="5" width="8.6640625" bestFit="1" customWidth="1"/>
  </cols>
  <sheetData>
    <row r="1" spans="1:13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45</v>
      </c>
      <c r="G1" s="5" t="s">
        <v>46</v>
      </c>
      <c r="H1" s="5" t="s">
        <v>48</v>
      </c>
      <c r="I1" s="5" t="s">
        <v>47</v>
      </c>
      <c r="J1" s="5" t="s">
        <v>49</v>
      </c>
      <c r="K1" s="5" t="s">
        <v>50</v>
      </c>
      <c r="L1" s="5" t="s">
        <v>51</v>
      </c>
      <c r="M1" s="5" t="s">
        <v>52</v>
      </c>
    </row>
    <row r="2" spans="1:13" ht="27.6" thickBot="1" x14ac:dyDescent="0.35">
      <c r="A2" s="2" t="s">
        <v>5</v>
      </c>
      <c r="B2" s="2" t="s">
        <v>6</v>
      </c>
      <c r="C2" s="3">
        <v>44936</v>
      </c>
      <c r="D2" s="3">
        <v>45301</v>
      </c>
      <c r="E2" s="4">
        <v>0.375</v>
      </c>
      <c r="F2" t="e">
        <f>DATEVALUE(C2)</f>
        <v>#VALUE!</v>
      </c>
      <c r="G2">
        <f>YEAR(C2)</f>
        <v>2023</v>
      </c>
      <c r="H2">
        <f>MONTH(C2)</f>
        <v>1</v>
      </c>
      <c r="I2">
        <f>WEEKDAY(C2,2)</f>
        <v>2</v>
      </c>
      <c r="J2" t="e">
        <f>TIMEVALUE(E2)</f>
        <v>#VALUE!</v>
      </c>
      <c r="K2">
        <f>DATEDIF(C2,D2,"Y")</f>
        <v>1</v>
      </c>
      <c r="L2">
        <f>DATEDIF(C2,D2,"M")</f>
        <v>12</v>
      </c>
      <c r="M2" t="e">
        <f>IF(DATEDIF(F2,D2,"D")&gt;730,"Yes","No")</f>
        <v>#VALUE!</v>
      </c>
    </row>
    <row r="3" spans="1:13" ht="27.6" thickBot="1" x14ac:dyDescent="0.35">
      <c r="A3" s="2" t="s">
        <v>7</v>
      </c>
      <c r="B3" s="2" t="s">
        <v>8</v>
      </c>
      <c r="C3" s="3">
        <v>45000</v>
      </c>
      <c r="D3" s="3">
        <v>45342</v>
      </c>
      <c r="E3" s="4">
        <v>0.39583333333333331</v>
      </c>
      <c r="F3" t="e">
        <f t="shared" ref="F3:F21" si="0">DATEVALUE(C3)</f>
        <v>#VALUE!</v>
      </c>
      <c r="G3">
        <f t="shared" ref="G3:G21" si="1">YEAR(C3)</f>
        <v>2023</v>
      </c>
      <c r="H3">
        <f t="shared" ref="H3:H21" si="2">MONTH(C3)</f>
        <v>3</v>
      </c>
      <c r="I3">
        <f t="shared" ref="I3:I21" si="3">WEEKDAY(C3,2)</f>
        <v>3</v>
      </c>
      <c r="J3" t="e">
        <f t="shared" ref="J3:J21" si="4">TIMEVALUE(E3)</f>
        <v>#VALUE!</v>
      </c>
      <c r="K3">
        <f t="shared" ref="K3:K21" si="5">DATEDIF(C3,D3,"Y")</f>
        <v>0</v>
      </c>
      <c r="L3">
        <f t="shared" ref="L3:L21" si="6">DATEDIF(C3,D3,"M")</f>
        <v>11</v>
      </c>
      <c r="M3" t="e">
        <f t="shared" ref="M3:M21" si="7">IF(DATEDIF(F3,D3,"D")&gt;730,"Yes","No")</f>
        <v>#VALUE!</v>
      </c>
    </row>
    <row r="4" spans="1:13" ht="27.6" thickBot="1" x14ac:dyDescent="0.35">
      <c r="A4" s="2" t="s">
        <v>9</v>
      </c>
      <c r="B4" s="2" t="s">
        <v>10</v>
      </c>
      <c r="C4" s="3">
        <v>44870</v>
      </c>
      <c r="D4" s="3">
        <v>45309</v>
      </c>
      <c r="E4" s="4">
        <v>0.41666666666666669</v>
      </c>
      <c r="F4" t="e">
        <f t="shared" si="0"/>
        <v>#VALUE!</v>
      </c>
      <c r="G4">
        <f t="shared" si="1"/>
        <v>2022</v>
      </c>
      <c r="H4">
        <f t="shared" si="2"/>
        <v>11</v>
      </c>
      <c r="I4">
        <f t="shared" si="3"/>
        <v>6</v>
      </c>
      <c r="J4" t="e">
        <f t="shared" si="4"/>
        <v>#VALUE!</v>
      </c>
      <c r="K4">
        <f t="shared" si="5"/>
        <v>1</v>
      </c>
      <c r="L4">
        <f t="shared" si="6"/>
        <v>14</v>
      </c>
      <c r="M4" t="e">
        <f t="shared" si="7"/>
        <v>#VALUE!</v>
      </c>
    </row>
    <row r="5" spans="1:13" ht="27.6" thickBot="1" x14ac:dyDescent="0.35">
      <c r="A5" s="2" t="s">
        <v>11</v>
      </c>
      <c r="B5" s="2" t="s">
        <v>12</v>
      </c>
      <c r="C5" s="3">
        <v>44378</v>
      </c>
      <c r="D5" s="3">
        <v>45356</v>
      </c>
      <c r="E5" s="4">
        <v>0.36458333333333331</v>
      </c>
      <c r="F5" t="e">
        <f t="shared" si="0"/>
        <v>#VALUE!</v>
      </c>
      <c r="G5">
        <f t="shared" si="1"/>
        <v>2021</v>
      </c>
      <c r="H5">
        <f t="shared" si="2"/>
        <v>7</v>
      </c>
      <c r="I5">
        <f t="shared" si="3"/>
        <v>4</v>
      </c>
      <c r="J5" t="e">
        <f t="shared" si="4"/>
        <v>#VALUE!</v>
      </c>
      <c r="K5">
        <f t="shared" si="5"/>
        <v>2</v>
      </c>
      <c r="L5">
        <f t="shared" si="6"/>
        <v>32</v>
      </c>
      <c r="M5" t="e">
        <f t="shared" si="7"/>
        <v>#VALUE!</v>
      </c>
    </row>
    <row r="6" spans="1:13" ht="27.6" thickBot="1" x14ac:dyDescent="0.35">
      <c r="A6" s="2" t="s">
        <v>13</v>
      </c>
      <c r="B6" s="2" t="s">
        <v>14</v>
      </c>
      <c r="C6" s="3">
        <v>44606</v>
      </c>
      <c r="D6" s="3">
        <v>45394</v>
      </c>
      <c r="E6" s="4">
        <v>0.38541666666666669</v>
      </c>
      <c r="F6" t="e">
        <f t="shared" si="0"/>
        <v>#VALUE!</v>
      </c>
      <c r="G6">
        <f t="shared" si="1"/>
        <v>2022</v>
      </c>
      <c r="H6">
        <f t="shared" si="2"/>
        <v>2</v>
      </c>
      <c r="I6">
        <f t="shared" si="3"/>
        <v>1</v>
      </c>
      <c r="J6" t="e">
        <f t="shared" si="4"/>
        <v>#VALUE!</v>
      </c>
      <c r="K6">
        <f t="shared" si="5"/>
        <v>2</v>
      </c>
      <c r="L6">
        <f t="shared" si="6"/>
        <v>25</v>
      </c>
      <c r="M6" t="e">
        <f t="shared" si="7"/>
        <v>#VALUE!</v>
      </c>
    </row>
    <row r="7" spans="1:13" ht="27.6" thickBot="1" x14ac:dyDescent="0.35">
      <c r="A7" s="2" t="s">
        <v>15</v>
      </c>
      <c r="B7" s="2" t="s">
        <v>16</v>
      </c>
      <c r="C7" s="3">
        <v>45066</v>
      </c>
      <c r="D7" s="3">
        <v>45432</v>
      </c>
      <c r="E7" s="4">
        <v>0.4375</v>
      </c>
      <c r="F7" t="e">
        <f t="shared" si="0"/>
        <v>#VALUE!</v>
      </c>
      <c r="G7">
        <f t="shared" si="1"/>
        <v>2023</v>
      </c>
      <c r="H7">
        <f t="shared" si="2"/>
        <v>5</v>
      </c>
      <c r="I7">
        <f t="shared" si="3"/>
        <v>6</v>
      </c>
      <c r="J7" t="e">
        <f t="shared" si="4"/>
        <v>#VALUE!</v>
      </c>
      <c r="K7">
        <f t="shared" si="5"/>
        <v>1</v>
      </c>
      <c r="L7">
        <f t="shared" si="6"/>
        <v>12</v>
      </c>
      <c r="M7" t="e">
        <f t="shared" si="7"/>
        <v>#VALUE!</v>
      </c>
    </row>
    <row r="8" spans="1:13" ht="15" thickBot="1" x14ac:dyDescent="0.35">
      <c r="A8" s="2" t="s">
        <v>17</v>
      </c>
      <c r="B8" s="2" t="s">
        <v>18</v>
      </c>
      <c r="C8" s="3">
        <v>44814</v>
      </c>
      <c r="D8" s="3">
        <v>45350</v>
      </c>
      <c r="E8" s="4">
        <v>0.375</v>
      </c>
      <c r="F8" t="e">
        <f t="shared" si="0"/>
        <v>#VALUE!</v>
      </c>
      <c r="G8">
        <f t="shared" si="1"/>
        <v>2022</v>
      </c>
      <c r="H8">
        <f t="shared" si="2"/>
        <v>9</v>
      </c>
      <c r="I8">
        <f t="shared" si="3"/>
        <v>6</v>
      </c>
      <c r="J8" t="e">
        <f t="shared" si="4"/>
        <v>#VALUE!</v>
      </c>
      <c r="K8">
        <f t="shared" si="5"/>
        <v>1</v>
      </c>
      <c r="L8">
        <f t="shared" si="6"/>
        <v>17</v>
      </c>
      <c r="M8" t="e">
        <f t="shared" si="7"/>
        <v>#VALUE!</v>
      </c>
    </row>
    <row r="9" spans="1:13" ht="27.6" thickBot="1" x14ac:dyDescent="0.35">
      <c r="A9" s="2" t="s">
        <v>19</v>
      </c>
      <c r="B9" s="2" t="s">
        <v>20</v>
      </c>
      <c r="C9" s="3">
        <v>44531</v>
      </c>
      <c r="D9" s="3">
        <v>45444</v>
      </c>
      <c r="E9" s="4">
        <v>0.35416666666666669</v>
      </c>
      <c r="F9" t="e">
        <f t="shared" si="0"/>
        <v>#VALUE!</v>
      </c>
      <c r="G9">
        <f t="shared" si="1"/>
        <v>2021</v>
      </c>
      <c r="H9">
        <f t="shared" si="2"/>
        <v>12</v>
      </c>
      <c r="I9">
        <f t="shared" si="3"/>
        <v>3</v>
      </c>
      <c r="J9" t="e">
        <f t="shared" si="4"/>
        <v>#VALUE!</v>
      </c>
      <c r="K9">
        <f t="shared" si="5"/>
        <v>2</v>
      </c>
      <c r="L9">
        <f t="shared" si="6"/>
        <v>30</v>
      </c>
      <c r="M9" t="e">
        <f t="shared" si="7"/>
        <v>#VALUE!</v>
      </c>
    </row>
    <row r="10" spans="1:13" ht="27.6" thickBot="1" x14ac:dyDescent="0.35">
      <c r="A10" s="2" t="s">
        <v>21</v>
      </c>
      <c r="B10" s="2" t="s">
        <v>22</v>
      </c>
      <c r="C10" s="3">
        <v>45085</v>
      </c>
      <c r="D10" s="3">
        <v>45321</v>
      </c>
      <c r="E10" s="4">
        <v>0.40625</v>
      </c>
      <c r="F10" t="e">
        <f t="shared" si="0"/>
        <v>#VALUE!</v>
      </c>
      <c r="G10">
        <f t="shared" si="1"/>
        <v>2023</v>
      </c>
      <c r="H10">
        <f t="shared" si="2"/>
        <v>6</v>
      </c>
      <c r="I10">
        <f t="shared" si="3"/>
        <v>4</v>
      </c>
      <c r="J10" t="e">
        <f t="shared" si="4"/>
        <v>#VALUE!</v>
      </c>
      <c r="K10">
        <f t="shared" si="5"/>
        <v>0</v>
      </c>
      <c r="L10">
        <f t="shared" si="6"/>
        <v>7</v>
      </c>
      <c r="M10" t="e">
        <f t="shared" si="7"/>
        <v>#VALUE!</v>
      </c>
    </row>
    <row r="11" spans="1:13" ht="27.6" thickBot="1" x14ac:dyDescent="0.35">
      <c r="A11" s="2" t="s">
        <v>23</v>
      </c>
      <c r="B11" s="2" t="s">
        <v>24</v>
      </c>
      <c r="C11" s="3">
        <v>44669</v>
      </c>
      <c r="D11" s="3">
        <v>45369</v>
      </c>
      <c r="E11" s="4">
        <v>0.42708333333333331</v>
      </c>
      <c r="F11" t="e">
        <f t="shared" si="0"/>
        <v>#VALUE!</v>
      </c>
      <c r="G11">
        <f t="shared" si="1"/>
        <v>2022</v>
      </c>
      <c r="H11">
        <f t="shared" si="2"/>
        <v>4</v>
      </c>
      <c r="I11">
        <f t="shared" si="3"/>
        <v>1</v>
      </c>
      <c r="J11" t="e">
        <f t="shared" si="4"/>
        <v>#VALUE!</v>
      </c>
      <c r="K11">
        <f t="shared" si="5"/>
        <v>1</v>
      </c>
      <c r="L11">
        <f t="shared" si="6"/>
        <v>23</v>
      </c>
      <c r="M11" t="e">
        <f t="shared" si="7"/>
        <v>#VALUE!</v>
      </c>
    </row>
    <row r="12" spans="1:13" ht="27.6" thickBot="1" x14ac:dyDescent="0.35">
      <c r="A12" s="2" t="s">
        <v>25</v>
      </c>
      <c r="B12" s="2" t="s">
        <v>26</v>
      </c>
      <c r="C12" s="3">
        <v>45160</v>
      </c>
      <c r="D12" s="3">
        <v>45404</v>
      </c>
      <c r="E12" s="4">
        <v>0.3888888888888889</v>
      </c>
      <c r="F12" t="e">
        <f t="shared" si="0"/>
        <v>#VALUE!</v>
      </c>
      <c r="G12">
        <f t="shared" si="1"/>
        <v>2023</v>
      </c>
      <c r="H12">
        <f t="shared" si="2"/>
        <v>8</v>
      </c>
      <c r="I12">
        <f t="shared" si="3"/>
        <v>2</v>
      </c>
      <c r="J12" t="e">
        <f t="shared" si="4"/>
        <v>#VALUE!</v>
      </c>
      <c r="K12">
        <f t="shared" si="5"/>
        <v>0</v>
      </c>
      <c r="L12">
        <f t="shared" si="6"/>
        <v>8</v>
      </c>
      <c r="M12" t="e">
        <f t="shared" si="7"/>
        <v>#VALUE!</v>
      </c>
    </row>
    <row r="13" spans="1:13" ht="27.6" thickBot="1" x14ac:dyDescent="0.35">
      <c r="A13" s="2" t="s">
        <v>27</v>
      </c>
      <c r="B13" s="2" t="s">
        <v>28</v>
      </c>
      <c r="C13" s="3">
        <v>44845</v>
      </c>
      <c r="D13" s="3">
        <v>45302</v>
      </c>
      <c r="E13" s="4">
        <v>0.36805555555555558</v>
      </c>
      <c r="F13" t="e">
        <f t="shared" si="0"/>
        <v>#VALUE!</v>
      </c>
      <c r="G13">
        <f t="shared" si="1"/>
        <v>2022</v>
      </c>
      <c r="H13">
        <f t="shared" si="2"/>
        <v>10</v>
      </c>
      <c r="I13">
        <f t="shared" si="3"/>
        <v>2</v>
      </c>
      <c r="J13" t="e">
        <f t="shared" si="4"/>
        <v>#VALUE!</v>
      </c>
      <c r="K13">
        <f t="shared" si="5"/>
        <v>1</v>
      </c>
      <c r="L13">
        <f t="shared" si="6"/>
        <v>15</v>
      </c>
      <c r="M13" t="e">
        <f t="shared" si="7"/>
        <v>#VALUE!</v>
      </c>
    </row>
    <row r="14" spans="1:13" ht="27.6" thickBot="1" x14ac:dyDescent="0.35">
      <c r="A14" s="2" t="s">
        <v>29</v>
      </c>
      <c r="B14" s="2" t="s">
        <v>30</v>
      </c>
      <c r="C14" s="3">
        <v>44321</v>
      </c>
      <c r="D14" s="3">
        <v>45417</v>
      </c>
      <c r="E14" s="4">
        <v>0.38194444444444442</v>
      </c>
      <c r="F14" t="e">
        <f t="shared" si="0"/>
        <v>#VALUE!</v>
      </c>
      <c r="G14">
        <f t="shared" si="1"/>
        <v>2021</v>
      </c>
      <c r="H14">
        <f t="shared" si="2"/>
        <v>5</v>
      </c>
      <c r="I14">
        <f t="shared" si="3"/>
        <v>3</v>
      </c>
      <c r="J14" t="e">
        <f t="shared" si="4"/>
        <v>#VALUE!</v>
      </c>
      <c r="K14">
        <f t="shared" si="5"/>
        <v>3</v>
      </c>
      <c r="L14">
        <f t="shared" si="6"/>
        <v>36</v>
      </c>
      <c r="M14" t="e">
        <f t="shared" si="7"/>
        <v>#VALUE!</v>
      </c>
    </row>
    <row r="15" spans="1:13" ht="27.6" thickBot="1" x14ac:dyDescent="0.35">
      <c r="A15" s="2" t="s">
        <v>31</v>
      </c>
      <c r="B15" s="2" t="s">
        <v>32</v>
      </c>
      <c r="C15" s="3">
        <v>44959</v>
      </c>
      <c r="D15" s="3">
        <v>45324</v>
      </c>
      <c r="E15" s="4">
        <v>0.40277777777777779</v>
      </c>
      <c r="F15" t="e">
        <f t="shared" si="0"/>
        <v>#VALUE!</v>
      </c>
      <c r="G15">
        <f t="shared" si="1"/>
        <v>2023</v>
      </c>
      <c r="H15">
        <f t="shared" si="2"/>
        <v>2</v>
      </c>
      <c r="I15">
        <f t="shared" si="3"/>
        <v>4</v>
      </c>
      <c r="J15" t="e">
        <f t="shared" si="4"/>
        <v>#VALUE!</v>
      </c>
      <c r="K15">
        <f t="shared" si="5"/>
        <v>1</v>
      </c>
      <c r="L15">
        <f t="shared" si="6"/>
        <v>12</v>
      </c>
      <c r="M15" t="e">
        <f t="shared" si="7"/>
        <v>#VALUE!</v>
      </c>
    </row>
    <row r="16" spans="1:13" ht="27.6" thickBot="1" x14ac:dyDescent="0.35">
      <c r="A16" s="2" t="s">
        <v>33</v>
      </c>
      <c r="B16" s="2" t="s">
        <v>34</v>
      </c>
      <c r="C16" s="3">
        <v>44731</v>
      </c>
      <c r="D16" s="3">
        <v>45462</v>
      </c>
      <c r="E16" s="4">
        <v>0.4201388888888889</v>
      </c>
      <c r="F16" t="e">
        <f t="shared" si="0"/>
        <v>#VALUE!</v>
      </c>
      <c r="G16">
        <f t="shared" si="1"/>
        <v>2022</v>
      </c>
      <c r="H16">
        <f t="shared" si="2"/>
        <v>6</v>
      </c>
      <c r="I16">
        <f t="shared" si="3"/>
        <v>7</v>
      </c>
      <c r="J16" t="e">
        <f t="shared" si="4"/>
        <v>#VALUE!</v>
      </c>
      <c r="K16">
        <f t="shared" si="5"/>
        <v>2</v>
      </c>
      <c r="L16">
        <f t="shared" si="6"/>
        <v>24</v>
      </c>
      <c r="M16" t="e">
        <f t="shared" si="7"/>
        <v>#VALUE!</v>
      </c>
    </row>
    <row r="17" spans="1:13" ht="15" thickBot="1" x14ac:dyDescent="0.35">
      <c r="A17" s="2" t="s">
        <v>35</v>
      </c>
      <c r="B17" s="2" t="s">
        <v>36</v>
      </c>
      <c r="C17" s="3">
        <v>45170</v>
      </c>
      <c r="D17" s="3">
        <v>45292</v>
      </c>
      <c r="E17" s="4">
        <v>0.3923611111111111</v>
      </c>
      <c r="F17" t="e">
        <f t="shared" si="0"/>
        <v>#VALUE!</v>
      </c>
      <c r="G17">
        <f t="shared" si="1"/>
        <v>2023</v>
      </c>
      <c r="H17">
        <f t="shared" si="2"/>
        <v>9</v>
      </c>
      <c r="I17">
        <f t="shared" si="3"/>
        <v>5</v>
      </c>
      <c r="J17" t="e">
        <f t="shared" si="4"/>
        <v>#VALUE!</v>
      </c>
      <c r="K17">
        <f t="shared" si="5"/>
        <v>0</v>
      </c>
      <c r="L17">
        <f t="shared" si="6"/>
        <v>4</v>
      </c>
      <c r="M17" t="e">
        <f t="shared" si="7"/>
        <v>#VALUE!</v>
      </c>
    </row>
    <row r="18" spans="1:13" ht="40.799999999999997" thickBot="1" x14ac:dyDescent="0.35">
      <c r="A18" s="2" t="s">
        <v>37</v>
      </c>
      <c r="B18" s="2" t="s">
        <v>38</v>
      </c>
      <c r="C18" s="3">
        <v>44424</v>
      </c>
      <c r="D18" s="3">
        <v>45367</v>
      </c>
      <c r="E18" s="4">
        <v>0.3611111111111111</v>
      </c>
      <c r="F18" t="e">
        <f t="shared" si="0"/>
        <v>#VALUE!</v>
      </c>
      <c r="G18">
        <f t="shared" si="1"/>
        <v>2021</v>
      </c>
      <c r="H18">
        <f t="shared" si="2"/>
        <v>8</v>
      </c>
      <c r="I18">
        <f t="shared" si="3"/>
        <v>1</v>
      </c>
      <c r="J18" t="e">
        <f t="shared" si="4"/>
        <v>#VALUE!</v>
      </c>
      <c r="K18">
        <f t="shared" si="5"/>
        <v>2</v>
      </c>
      <c r="L18">
        <f t="shared" si="6"/>
        <v>31</v>
      </c>
      <c r="M18" t="e">
        <f t="shared" si="7"/>
        <v>#VALUE!</v>
      </c>
    </row>
    <row r="19" spans="1:13" ht="27.6" thickBot="1" x14ac:dyDescent="0.35">
      <c r="A19" s="2" t="s">
        <v>39</v>
      </c>
      <c r="B19" s="2" t="s">
        <v>40</v>
      </c>
      <c r="C19" s="3">
        <v>44589</v>
      </c>
      <c r="D19" s="3">
        <v>45319</v>
      </c>
      <c r="E19" s="4">
        <v>0.39930555555555558</v>
      </c>
      <c r="F19" t="e">
        <f t="shared" si="0"/>
        <v>#VALUE!</v>
      </c>
      <c r="G19">
        <f t="shared" si="1"/>
        <v>2022</v>
      </c>
      <c r="H19">
        <f t="shared" si="2"/>
        <v>1</v>
      </c>
      <c r="I19">
        <f t="shared" si="3"/>
        <v>5</v>
      </c>
      <c r="J19" t="e">
        <f t="shared" si="4"/>
        <v>#VALUE!</v>
      </c>
      <c r="K19">
        <f t="shared" si="5"/>
        <v>2</v>
      </c>
      <c r="L19">
        <f t="shared" si="6"/>
        <v>24</v>
      </c>
      <c r="M19" t="e">
        <f t="shared" si="7"/>
        <v>#VALUE!</v>
      </c>
    </row>
    <row r="20" spans="1:13" ht="27.6" thickBot="1" x14ac:dyDescent="0.35">
      <c r="A20" s="2" t="s">
        <v>41</v>
      </c>
      <c r="B20" s="2" t="s">
        <v>42</v>
      </c>
      <c r="C20" s="3">
        <v>45028</v>
      </c>
      <c r="D20" s="3">
        <v>45394</v>
      </c>
      <c r="E20" s="4">
        <v>0.4236111111111111</v>
      </c>
      <c r="F20" t="e">
        <f t="shared" si="0"/>
        <v>#VALUE!</v>
      </c>
      <c r="G20">
        <f t="shared" si="1"/>
        <v>2023</v>
      </c>
      <c r="H20">
        <f t="shared" si="2"/>
        <v>4</v>
      </c>
      <c r="I20">
        <f t="shared" si="3"/>
        <v>3</v>
      </c>
      <c r="J20" t="e">
        <f t="shared" si="4"/>
        <v>#VALUE!</v>
      </c>
      <c r="K20">
        <f t="shared" si="5"/>
        <v>1</v>
      </c>
      <c r="L20">
        <f t="shared" si="6"/>
        <v>12</v>
      </c>
      <c r="M20" t="e">
        <f t="shared" si="7"/>
        <v>#VALUE!</v>
      </c>
    </row>
    <row r="21" spans="1:13" ht="27.6" thickBot="1" x14ac:dyDescent="0.35">
      <c r="A21" s="2" t="s">
        <v>43</v>
      </c>
      <c r="B21" s="2" t="s">
        <v>44</v>
      </c>
      <c r="C21" s="3">
        <v>44623</v>
      </c>
      <c r="D21" s="3">
        <v>45354</v>
      </c>
      <c r="E21" s="4">
        <v>0.41319444444444442</v>
      </c>
      <c r="F21" t="e">
        <f t="shared" si="0"/>
        <v>#VALUE!</v>
      </c>
      <c r="G21">
        <f t="shared" si="1"/>
        <v>2022</v>
      </c>
      <c r="H21">
        <f t="shared" si="2"/>
        <v>3</v>
      </c>
      <c r="I21">
        <f t="shared" si="3"/>
        <v>4</v>
      </c>
      <c r="J21" t="e">
        <f t="shared" si="4"/>
        <v>#VALUE!</v>
      </c>
      <c r="K21">
        <f t="shared" si="5"/>
        <v>2</v>
      </c>
      <c r="L21">
        <f t="shared" si="6"/>
        <v>24</v>
      </c>
      <c r="M21" t="e">
        <f t="shared" si="7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OFF14040 UserOFF</dc:creator>
  <cp:lastModifiedBy>OFF14040 UserOFF</cp:lastModifiedBy>
  <dcterms:created xsi:type="dcterms:W3CDTF">2026-10-12T13:56:48Z</dcterms:created>
  <dcterms:modified xsi:type="dcterms:W3CDTF">2026-10-12T14:06:48Z</dcterms:modified>
</cp:coreProperties>
</file>